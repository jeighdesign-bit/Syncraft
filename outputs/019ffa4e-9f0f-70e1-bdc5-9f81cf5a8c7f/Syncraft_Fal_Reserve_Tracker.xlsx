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329dd467f443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d38ddde074a4860"/>
    <x:sheet xmlns:r="http://schemas.openxmlformats.org/officeDocument/2006/relationships" name="Payment Tracker" sheetId="2" r:id="R92add4ce460f414d"/>
    <x:sheet xmlns:r="http://schemas.openxmlformats.org/officeDocument/2006/relationships" name="Assumptions" sheetId="3" r:id="R1b3b0c6eae594b49"/>
    <x:sheet xmlns:r="http://schemas.openxmlformats.org/officeDocument/2006/relationships" name="Checks" sheetId="4" r:id="R0847bef7072e4858"/>
    <x:sheet xmlns:r="http://schemas.openxmlformats.org/officeDocument/2006/relationships" name="Sources" sheetId="5" r:id="R013db220a1414d3a"/>
    <x:sheet xmlns:r="http://schemas.openxmlformats.org/officeDocument/2006/relationships" name="Sync State" sheetId="6" r:id="Rce832ca0507245b9"/>
    <x:sheet xmlns:r="http://schemas.openxmlformats.org/officeDocument/2006/relationships" name="Service Cost Model" sheetId="7" r:id="R7f1d1e71f05c48b1"/>
    <x:sheet xmlns:r="http://schemas.openxmlformats.org/officeDocument/2006/relationships" name="Fal Purchases" sheetId="8" r:id="Rc56ad480e4fe4279"/>
    <x:sheet xmlns:r="http://schemas.openxmlformats.org/officeDocument/2006/relationships" name="All Expenses" sheetId="9" r:id="Rd7150d02017040fb"/>
    <x:sheet xmlns:r="http://schemas.openxmlformats.org/officeDocument/2006/relationships" name="Recraft Purchases" sheetId="10" r:id="R2b28ea35e4f043a4"/>
    <x:sheet xmlns:r="http://schemas.openxmlformats.org/officeDocument/2006/relationships" name="Owner Recovery" sheetId="11" r:id="Rf865516bcf184e5f"/>
  </x:sheets>
</x:workbook>
</file>

<file path=xl/comments1.xml><?xml version="1.0" encoding="utf-8"?>
<x:comments xmlns:x="http://schemas.openxmlformats.org/spreadsheetml/2006/main">
  <x:authors>
    <x:author>tc={C2FC4E45-A19E-3BBE-225F-0E6B3B48758F}</x:author>
    <x:author>tc={D7D22064-8012-E9F0-C38C-9D18F41E2C2C}</x:author>
    <x:author>tc={F5DA8A68-60A7-2CCF-403C-AABDF49A2ACD}</x:author>
    <x:author>tc={D92C6239-B1E1-F51C-E513-0310D9A8D2B8}</x:author>
  </x:authors>
  <x:commentList>
    <x:comment ref="B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https://fal.ai/nano-banana-pro | As-of: 2026-08-13 | Fal official standard output price.</x:t>
        </x:r>
      </x:text>
    </x:comment>
    <x:comment ref="B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https://www.bsp.gov.ph/statistics/external/day99_data.aspx | Conservative rounded working assumption; update periodically.</x:t>
        </x:r>
      </x:text>
    </x:comment>
    <x:comment ref="B1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Syncraft profiles audit | Dynamic balance; replace with latest Admin dashboard total.</x:t>
        </x:r>
      </x:text>
    </x:comment>
    <x:comment ref="B1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only. Keep at 0% if you want Direct Profit without an extra safety deduction.</x:t>
        </x:r>
      </x:text>
    </x:comment>
  </x:commentList>
</x:comments>
</file>

<file path=xl/comments2.xml><?xml version="1.0" encoding="utf-8"?>
<x:comments xmlns:x="http://schemas.openxmlformats.org/spreadsheetml/2006/main">
  <x:authors>
    <x:author>tc={42625C92-76B9-6D03-09A7-C7A2A3F7FE7D}</x:author>
    <x:author>tc={389CDC5E-0725-1FBF-983B-A6E1DAEB1D64}</x:author>
  </x:authors>
  <x:commentList>
    <x:comment ref="B2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Recommended operating reserve uses the normalized 30-day service mix plus a 20% safety buffer. It is not a guarantee against unlimited image size.</x:t>
        </x:r>
      </x:text>
    </x:comment>
    <x:comment ref="B2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The observed 32.576 MP Clarity output shows why the Upscaler needs a megapixel cap or dynamic credit charge.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2">
    <x:numFmt numFmtId="200" formatCode="yyyy-mm-dd"/>
    <x:numFmt numFmtId="201" formatCode="0.00"/>
    <x:numFmt numFmtId="202" formatCode="&quot;$&quot;#,##0.00;[Red](&quot;$&quot;#,##0.00);-"/>
    <x:numFmt numFmtId="203" formatCode="#,##0;[Red](#,##0);-"/>
    <x:numFmt numFmtId="204" formatCode="0.0%"/>
    <x:numFmt numFmtId="205" formatCode="&quot;₱&quot;#,##0.00;[Red](&quot;₱&quot;#,##0.00);-"/>
    <x:numFmt numFmtId="206" formatCode="&quot;₱&quot;#,##0;[Red](&quot;₱&quot;#,##0);-"/>
    <x:numFmt numFmtId="207" formatCode="0.0 &quot;days&quot;"/>
    <x:numFmt numFmtId="208" formatCode="@"/>
    <x:numFmt numFmtId="209" formatCode="yyyy-mm-dd hh:mm"/>
    <x:numFmt numFmtId="210" formatCode="&quot;$&quot;#,##0.0000;[Red](&quot;$&quot;#,##0.0000);-"/>
    <x:numFmt numFmtId="211" formatCode="0.0000"/>
    <x:numFmt numFmtId="212" formatCode="&quot;$&quot;#,##0.00"/>
    <x:numFmt numFmtId="213" formatCode="yyyy-mm-dd hh:mm:ss"/>
    <x:numFmt numFmtId="214" formatCode="#,##0.0"/>
    <x:numFmt numFmtId="215" formatCode="0.0"/>
    <x:numFmt numFmtId="216" formatCode="₱0.00"/>
    <x:numFmt numFmtId="217" formatCode="#,##0"/>
    <x:numFmt numFmtId="218" formatCode="&quot;$&quot;#,##0.000;[Red](&quot;$&quot;#,##0.000);-"/>
    <x:numFmt numFmtId="219" formatCode="&quot;₱&quot;0.00"/>
    <x:numFmt numFmtId="220" formatCode="&quot;₱&quot;#,##0.00;[Red](&quot;₱&quot;#,##0.00);&quot;₱&quot;0.00"/>
    <x:numFmt numFmtId="221" formatCode="0"/>
  </x:numFmts>
  <x:fonts count="47">
    <x:font>
      <x:sz val="11"/>
      <x:name val="Carlito"/>
    </x:font>
    <x:font>
      <x:b/>
      <x:sz val="18"/>
      <x:color rgb="FFFFFFFF"/>
      <x:name val="Carlito"/>
    </x:font>
    <x:font>
      <x:sz val="10"/>
      <x:color rgb="FFDDE7F5"/>
      <x:name val="Carlito"/>
    </x:font>
    <x:font>
      <x:b/>
      <x:sz val="11"/>
      <x:color rgb="FFFFFFFF"/>
      <x:name val="Carlito"/>
    </x:font>
    <x:font>
      <x:b/>
      <x:sz val="11"/>
      <x:color rgb="FF101828"/>
      <x:name val="Carlito"/>
    </x:font>
    <x:font>
      <x:sz val="11"/>
      <x:color rgb="FF0000FF"/>
      <x:name val="Carlito"/>
    </x:font>
    <x:font>
      <x:b/>
      <x:sz val="11"/>
      <x:color rgb="FF397A1F"/>
      <x:name val="Carlito"/>
    </x:font>
    <x:font>
      <x:sz val="11"/>
      <x:color rgb="FF008000"/>
      <x:name val="Carlito"/>
    </x:font>
    <x:font>
      <x:b/>
      <x:sz val="18"/>
      <x:color rgb="FFFFFFFF"/>
      <x:name val="Aptos"/>
    </x:font>
    <x:font>
      <x:sz val="11"/>
      <x:name val="Aptos"/>
    </x:font>
    <x:font>
      <x:sz val="10"/>
      <x:color rgb="FFDDE7F5"/>
      <x:name val="Aptos"/>
    </x:font>
    <x:font>
      <x:b/>
      <x:sz val="11"/>
      <x:color rgb="FFFFFFFF"/>
      <x:name val="Aptos"/>
    </x:font>
    <x:font>
      <x:b/>
      <x:sz val="11"/>
      <x:color rgb="FF101828"/>
      <x:name val="Aptos"/>
    </x:font>
    <x:font>
      <x:sz val="11"/>
      <x:color rgb="FF0000FF"/>
      <x:name val="Aptos"/>
    </x:font>
    <x:font>
      <x:sz val="11"/>
      <x:color rgb="FF008000"/>
      <x:name val="Aptos"/>
    </x:font>
    <x:font>
      <x:b/>
      <x:sz val="11"/>
      <x:color rgb="FF397A1F"/>
      <x:name val="Aptos"/>
    </x:font>
    <x:font>
      <x:sz val="10"/>
      <x:name val="Carlito"/>
    </x:font>
    <x:font>
      <x:sz val="10"/>
      <x:color rgb="FF0000FF"/>
      <x:name val="Carlito"/>
    </x:font>
    <x:font>
      <x:b/>
      <x:sz val="11"/>
      <x:color rgb="FF667085"/>
      <x:name val="Carlito"/>
    </x:font>
    <x:font>
      <x:b/>
      <x:sz val="14"/>
      <x:color rgb="FF101828"/>
      <x:name val="Carlito"/>
    </x:font>
    <x:font>
      <x:b/>
      <x:sz val="12"/>
      <x:color rgb="FF101828"/>
      <x:name val="Carlito"/>
    </x:font>
    <x:font>
      <x:sz val="11"/>
      <x:color rgb="FF101828"/>
      <x:name val="Carlito"/>
    </x:font>
    <x:font>
      <x:b/>
      <x:sz val="11"/>
      <x:color rgb="FF667085"/>
      <x:name val="Aptos"/>
    </x:font>
    <x:font>
      <x:b/>
      <x:sz val="14"/>
      <x:color rgb="FF101828"/>
      <x:name val="Aptos"/>
    </x:font>
    <x:font>
      <x:b/>
      <x:sz val="12"/>
      <x:color rgb="FF101828"/>
      <x:name val="Aptos"/>
    </x:font>
    <x:font>
      <x:sz val="11"/>
      <x:color rgb="FF101828"/>
      <x:name val="Aptos"/>
    </x:font>
    <x:font>
      <x:b/>
      <x:sz val="12"/>
      <x:color rgb="FFFFFFFF"/>
      <x:name val="Carlito"/>
    </x:font>
    <x:font>
      <x:b/>
      <x:sz val="12"/>
      <x:color rgb="FFFFFFFF"/>
      <x:name val="Aptos"/>
    </x:font>
    <x:font>
      <x:b/>
      <x:sz val="16"/>
      <x:color rgb="FFFFFFFF"/>
      <x:name val="Carlito"/>
    </x:font>
    <x:font>
      <x:sz val="10"/>
      <x:color rgb="FF7A4B00"/>
      <x:name val="Carlito"/>
    </x:font>
    <x:font>
      <x:sz val="9"/>
      <x:color rgb="FF475467"/>
      <x:name val="Carlito"/>
    </x:font>
    <x:font>
      <x:b/>
      <x:sz val="11"/>
      <x:color rgb="FFA15C00"/>
      <x:name val="Carlito"/>
    </x:font>
    <x:font>
      <x:b/>
      <x:sz val="11"/>
      <x:color rgb="FFA15C00"/>
      <x:name val="Aptos"/>
    </x:font>
    <x:font>
      <x:sz val="9"/>
      <x:color rgb="FF475467"/>
      <x:name val="Aptos"/>
    </x:font>
    <x:font>
      <x:b/>
      <x:sz val="10"/>
      <x:color rgb="FF397A1F"/>
      <x:name val="Carlito"/>
    </x:font>
    <x:font>
      <x:sz val="10"/>
      <x:color rgb="FF667085"/>
      <x:name val="Carlito"/>
    </x:font>
    <x:font>
      <x:b/>
      <x:sz val="16"/>
      <x:color rgb="FF397A1F"/>
      <x:name val="Carlito"/>
    </x:font>
    <x:font>
      <x:b/>
      <x:sz val="16"/>
      <x:color rgb="FF397A1F"/>
      <x:name val="Aptos"/>
    </x:font>
    <x:font>
      <x:sz val="11"/>
      <x:color rgb="FFFFFFFF"/>
      <x:name val="Carlito"/>
    </x:font>
    <x:font>
      <x:i/>
      <x:sz val="11"/>
      <x:color rgb="FF475467"/>
      <x:name val="Carlito"/>
    </x:font>
    <x:font>
      <x:b/>
      <x:sz val="11"/>
      <x:color rgb="FF008000"/>
      <x:name val="Carlito"/>
    </x:font>
    <x:font>
      <x:sz val="11"/>
      <x:color rgb="FF000000"/>
      <x:name val="Carlito"/>
    </x:font>
    <x:font>
      <x:b/>
      <x:sz val="11"/>
      <x:color rgb="FF0000FF"/>
      <x:name val="Carlito"/>
    </x:font>
    <x:font>
      <x:b/>
      <x:sz val="11"/>
      <x:color rgb="FF9A6700"/>
      <x:name val="Carlito"/>
    </x:font>
    <x:font>
      <x:b/>
      <x:sz val="11"/>
      <x:color rgb="FFB42318"/>
      <x:name val="Carlito"/>
    </x:font>
    <x:font>
      <x:b/>
      <x:sz val="11"/>
      <x:color rgb="FF172B4D"/>
      <x:name val="Carlito"/>
    </x:font>
    <x:font>
      <x:sz val="11"/>
      <x:color rgb="FF475467"/>
      <x:name val="Carlito"/>
    </x:font>
  </x:fonts>
  <x:fills count="89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23395D"/>
      </x:patternFill>
    </x:fill>
    <x:fill>
      <x:patternFill patternType="solid">
        <x:fgColor rgb="FFE9EEF6"/>
      </x:patternFill>
    </x:fill>
    <x:fill>
      <x:patternFill patternType="solid">
        <x:fgColor rgb="FFFFFBEA"/>
      </x:patternFill>
    </x:fill>
    <x:fill>
      <x:patternFill patternType="solid">
        <x:fgColor rgb="FFEAF8DE"/>
      </x:patternFill>
    </x:fill>
    <x:fill>
      <x:patternFill patternType="solid">
        <x:fgColor rgb="FFF7F9FC"/>
      </x:patternFill>
    </x:fill>
    <x:fill>
      <x:patternFill patternType="solid">
        <x:fgColor rgb="FFFFFFFF"/>
      </x:patternFill>
    </x:fill>
    <x:fill>
      <x:patternFill patternType="solid">
        <x:fgColor rgb="FF172B4D"/>
      </x:patternFill>
    </x:fill>
    <x:fill>
      <x:patternFill patternType="solid">
        <x:fgColor rgb="FFFFF0C2"/>
      </x:patternFill>
    </x:fill>
    <x:fill>
      <x:patternFill patternType="solid">
        <x:fgColor rgb="FFE9EEF6"/>
      </x:patternFill>
    </x:fill>
    <x:fill>
      <x:patternFill patternType="solid">
        <x:fgColor rgb="FF172B4D"/>
      </x:patternFill>
    </x:fill>
    <x:fill>
      <x:patternFill patternType="solid">
        <x:fgColor rgb="FF23395D"/>
      </x:patternFill>
    </x:fill>
    <x:fill>
      <x:patternFill patternType="solid">
        <x:fgColor rgb="FFE9EEF6"/>
      </x:patternFill>
    </x:fill>
    <x:fill>
      <x:patternFill patternType="solid">
        <x:fgColor rgb="FFFFFBEA"/>
      </x:patternFill>
    </x:fill>
    <x:fill>
      <x:patternFill patternType="solid">
        <x:fgColor rgb="FFEAF8DE"/>
      </x:patternFill>
    </x:fill>
    <x:fill>
      <x:patternFill patternType="solid">
        <x:fgColor rgb="FFFFF0C2"/>
      </x:patternFill>
    </x:fill>
    <x:fill>
      <x:patternFill patternType="solid">
        <x:fgColor rgb="FFF7F9FC"/>
      </x:patternFill>
    </x:fill>
    <x:fill>
      <x:patternFill patternType="solid">
        <x:fgColor rgb="FFFFFBEA"/>
      </x:patternFill>
    </x:fill>
    <x:fill>
      <x:patternFill patternType="solid">
        <x:fgColor rgb="FF172B4D"/>
      </x:patternFill>
    </x:fill>
    <x:fill>
      <x:patternFill patternType="solid">
        <x:fgColor rgb="FF23395D"/>
      </x:patternFill>
    </x:fill>
    <x:fill>
      <x:patternFill patternType="solid">
        <x:fgColor rgb="FFE9EEF6"/>
      </x:patternFill>
    </x:fill>
    <x:fill>
      <x:patternFill patternType="solid">
        <x:fgColor rgb="FFFFFBEA"/>
      </x:patternFill>
    </x:fill>
    <x:fill>
      <x:patternFill patternType="solid">
        <x:fgColor rgb="FFF7F9FC"/>
      </x:patternFill>
    </x:fill>
    <x:fill>
      <x:patternFill patternType="solid">
        <x:fgColor rgb="FFEAF8DE"/>
      </x:patternFill>
    </x:fill>
    <x:fill>
      <x:patternFill patternType="solid">
        <x:fgColor rgb="FFFFFFFF"/>
      </x:patternFill>
    </x:fill>
    <x:fill>
      <x:patternFill patternType="solid">
        <x:fgColor rgb="FFE9EEF6"/>
      </x:patternFill>
    </x:fill>
    <x:fill>
      <x:patternFill patternType="solid">
        <x:fgColor rgb="FF172B4D"/>
      </x:patternFill>
    </x:fill>
    <x:fill>
      <x:patternFill patternType="solid">
        <x:fgColor rgb="FF29456F"/>
      </x:patternFill>
    </x:fill>
    <x:fill>
      <x:patternFill patternType="solid">
        <x:fgColor rgb="FFF3F4F6"/>
      </x:patternFill>
    </x:fill>
    <x:fill>
      <x:patternFill patternType="solid">
        <x:fgColor rgb="FFFFFBEA"/>
      </x:patternFill>
    </x:fill>
    <x:fill>
      <x:patternFill patternType="solid">
        <x:fgColor rgb="FFEAF8DE"/>
      </x:patternFill>
    </x:fill>
    <x:fill>
      <x:patternFill patternType="solid">
        <x:fgColor rgb="FFE9EEF6"/>
      </x:patternFill>
    </x:fill>
    <x:fill>
      <x:patternFill patternType="solid">
        <x:fgColor rgb="FFF3F4F6"/>
      </x:patternFill>
    </x:fill>
    <x:fill>
      <x:patternFill patternType="solid">
        <x:fgColor rgb="FF172B4D"/>
      </x:patternFill>
    </x:fill>
    <x:fill>
      <x:patternFill patternType="solid">
        <x:fgColor rgb="FF29456F"/>
      </x:patternFill>
    </x:fill>
    <x:fill>
      <x:patternFill patternType="solid">
        <x:fgColor rgb="FFF3F4F6"/>
      </x:patternFill>
    </x:fill>
    <x:fill>
      <x:patternFill patternType="solid">
        <x:fgColor rgb="FFEAF8DE"/>
      </x:patternFill>
    </x:fill>
    <x:fill>
      <x:patternFill patternType="solid">
        <x:fgColor rgb="FFFFFBEA"/>
      </x:patternFill>
    </x:fill>
    <x:fill>
      <x:patternFill patternType="solid">
        <x:fgColor rgb="FFE9EEF6"/>
      </x:patternFill>
    </x:fill>
    <x:fill>
      <x:patternFill patternType="solid">
        <x:fgColor rgb="FFFFF4E5"/>
      </x:patternFill>
    </x:fill>
    <x:fill>
      <x:patternFill patternType="solid">
        <x:fgColor rgb="FF172B4D"/>
      </x:patternFill>
    </x:fill>
    <x:fill>
      <x:patternFill patternType="solid">
        <x:fgColor rgb="FF29456F"/>
      </x:patternFill>
    </x:fill>
    <x:fill>
      <x:patternFill patternType="solid">
        <x:fgColor rgb="FFEAF8DE"/>
      </x:patternFill>
    </x:fill>
    <x:fill>
      <x:patternFill patternType="solid">
        <x:fgColor rgb="FFE9EEF6"/>
      </x:patternFill>
    </x:fill>
    <x:fill>
      <x:patternFill patternType="solid">
        <x:fgColor rgb="FFFFFBEA"/>
      </x:patternFill>
    </x:fill>
    <x:fill>
      <x:patternFill patternType="solid">
        <x:fgColor rgb="FFF3F4F6"/>
      </x:patternFill>
    </x:fill>
    <x:fill>
      <x:patternFill patternType="solid">
        <x:fgColor rgb="FFFFF4E5"/>
      </x:patternFill>
    </x:fill>
    <x:fill>
      <x:patternFill patternType="solid">
        <x:fgColor rgb="FFFDECEC"/>
      </x:patternFill>
    </x:fill>
    <x:fill>
      <x:patternFill patternType="solid">
        <x:fgColor rgb="FF172B4D"/>
      </x:patternFill>
    </x:fill>
    <x:fill>
      <x:patternFill patternType="solid">
        <x:fgColor rgb="FF29456F"/>
      </x:patternFill>
    </x:fill>
    <x:fill>
      <x:patternFill patternType="solid">
        <x:fgColor rgb="FFE9EEF6"/>
      </x:patternFill>
    </x:fill>
    <x:fill>
      <x:patternFill patternType="solid">
        <x:fgColor rgb="FFFDECEC"/>
      </x:patternFill>
    </x:fill>
    <x:fill>
      <x:patternFill patternType="solid">
        <x:fgColor rgb="FFEAF8DE"/>
      </x:patternFill>
    </x:fill>
    <x:fill>
      <x:patternFill patternType="solid">
        <x:fgColor rgb="FFFFFBEA"/>
      </x:patternFill>
    </x:fill>
    <x:fill>
      <x:patternFill patternType="solid">
        <x:fgColor rgb="FFF3F4F6"/>
      </x:patternFill>
    </x:fill>
    <x:fill>
      <x:patternFill patternType="solid">
        <x:fgColor rgb="FF172B4D"/>
      </x:patternFill>
    </x:fill>
    <x:fill>
      <x:patternFill patternType="solid">
        <x:fgColor rgb="FF29456F"/>
      </x:patternFill>
    </x:fill>
    <x:fill>
      <x:patternFill patternType="solid">
        <x:fgColor rgb="FFE9EEF6"/>
      </x:patternFill>
    </x:fill>
    <x:fill>
      <x:patternFill patternType="solid">
        <x:fgColor rgb="FFFDECEC"/>
      </x:patternFill>
    </x:fill>
    <x:fill>
      <x:patternFill patternType="solid">
        <x:fgColor rgb="FFEAF8DE"/>
      </x:patternFill>
    </x:fill>
    <x:fill>
      <x:patternFill patternType="solid">
        <x:fgColor rgb="FFFFFBEA"/>
      </x:patternFill>
    </x:fill>
    <x:fill>
      <x:patternFill patternType="solid">
        <x:fgColor rgb="FFF3F4F6"/>
      </x:patternFill>
    </x:fill>
    <x:fill>
      <x:patternFill patternType="solid">
        <x:fgColor rgb="FFE9EEF6"/>
      </x:patternFill>
    </x:fill>
    <x:fill>
      <x:patternFill patternType="solid">
        <x:fgColor rgb="FFEAF8DE"/>
      </x:patternFill>
    </x:fill>
    <x:fill>
      <x:patternFill patternType="solid">
        <x:fgColor rgb="FFFFFBEA"/>
      </x:patternFill>
    </x:fill>
    <x:fill>
      <x:patternFill patternType="solid">
        <x:fgColor rgb="FFF3F4F6"/>
      </x:patternFill>
    </x:fill>
    <x:fill>
      <x:patternFill patternType="solid">
        <x:fgColor rgb="FF172B4D"/>
      </x:patternFill>
    </x:fill>
    <x:fill>
      <x:patternFill patternType="solid">
        <x:fgColor rgb="FF29456F"/>
      </x:patternFill>
    </x:fill>
    <x:fill>
      <x:patternFill patternType="solid">
        <x:fgColor rgb="FFE9EEF6"/>
      </x:patternFill>
    </x:fill>
    <x:fill>
      <x:patternFill patternType="solid">
        <x:fgColor rgb="FFFDECEC"/>
      </x:patternFill>
    </x:fill>
    <x:fill>
      <x:patternFill patternType="solid">
        <x:fgColor rgb="FFEAF8DE"/>
      </x:patternFill>
    </x:fill>
    <x:fill>
      <x:patternFill patternType="solid">
        <x:fgColor rgb="FFF3F4F6"/>
      </x:patternFill>
    </x:fill>
    <x:fill>
      <x:patternFill patternType="solid">
        <x:fgColor rgb="FFFFFBEA"/>
      </x:patternFill>
    </x:fill>
    <x:fill>
      <x:patternFill patternType="solid">
        <x:fgColor rgb="FF172B4D"/>
      </x:patternFill>
    </x:fill>
    <x:fill>
      <x:patternFill patternType="solid">
        <x:fgColor rgb="FF29456F"/>
      </x:patternFill>
    </x:fill>
    <x:fill>
      <x:patternFill patternType="solid">
        <x:fgColor rgb="FFE9EEF6"/>
      </x:patternFill>
    </x:fill>
    <x:fill>
      <x:patternFill patternType="solid">
        <x:fgColor rgb="FFFDECEC"/>
      </x:patternFill>
    </x:fill>
    <x:fill>
      <x:patternFill patternType="solid">
        <x:fgColor rgb="FFEAF8DE"/>
      </x:patternFill>
    </x:fill>
    <x:fill>
      <x:patternFill patternType="solid">
        <x:fgColor rgb="FFF3F4F6"/>
      </x:patternFill>
    </x:fill>
    <x:fill>
      <x:patternFill patternType="solid">
        <x:fgColor rgb="FFFFFBEA"/>
      </x:patternFill>
    </x:fill>
    <x:fill>
      <x:patternFill patternType="solid">
        <x:fgColor rgb="FF172B4D"/>
      </x:patternFill>
    </x:fill>
    <x:fill>
      <x:patternFill patternType="solid">
        <x:fgColor rgb="FF29456F"/>
      </x:patternFill>
    </x:fill>
    <x:fill>
      <x:patternFill patternType="solid">
        <x:fgColor rgb="FFE9EEF6"/>
      </x:patternFill>
    </x:fill>
    <x:fill>
      <x:patternFill patternType="solid">
        <x:fgColor rgb="FFFDECEC"/>
      </x:patternFill>
    </x:fill>
    <x:fill>
      <x:patternFill patternType="solid">
        <x:fgColor rgb="FFEAF8DE"/>
      </x:patternFill>
    </x:fill>
    <x:fill>
      <x:patternFill patternType="solid">
        <x:fgColor rgb="FFF3F4F6"/>
      </x:patternFill>
    </x:fill>
    <x:fill>
      <x:patternFill patternType="solid">
        <x:fgColor rgb="FFFFFBEA"/>
      </x:patternFill>
    </x:fill>
  </x:fills>
  <x:borders count="26">
    <x:border/>
    <x:border>
      <x:bottom style="medium">
        <x:color rgb="FF172B4D"/>
      </x:bottom>
    </x:border>
    <x:border>
      <x:left style="thin">
        <x:color rgb="FFE5C07B"/>
      </x:left>
      <x:right style="thin">
        <x:color rgb="FFE5C07B"/>
      </x:right>
      <x:top style="thin">
        <x:color rgb="FFE5C07B"/>
      </x:top>
    </x:border>
    <x:border>
      <x:left style="thin">
        <x:color rgb="FFE5C07B"/>
      </x:left>
      <x:right style="thin">
        <x:color rgb="FFE5C07B"/>
      </x:right>
    </x:border>
    <x:border>
      <x:left style="thin">
        <x:color rgb="FFE5C07B"/>
      </x:left>
      <x:right style="thin">
        <x:color rgb="FFE5C07B"/>
      </x:right>
      <x:bottom style="thin">
        <x:color rgb="FFE5C07B"/>
      </x:bottom>
    </x:border>
    <x:border>
      <x:left style="thin">
        <x:color rgb="FFE5C07B"/>
      </x:left>
      <x:right style="thin">
        <x:color rgb="FFE5C07B"/>
      </x:right>
      <x:top style="thin">
        <x:color rgb="FFE5C07B"/>
      </x:top>
      <x:bottom style="thin">
        <x:color rgb="FFE5C07B"/>
      </x:bottom>
    </x:border>
    <x:border>
      <x:bottom style="thin">
        <x:color rgb="FFEAECF0"/>
      </x:bottom>
    </x:border>
    <x:border>
      <x:top style="thin">
        <x:color rgb="FFEAECF0"/>
      </x:top>
      <x:bottom style="thin">
        <x:color rgb="FFEAECF0"/>
      </x:bottom>
    </x:border>
    <x:border>
      <x:top style="thin">
        <x:color rgb="FFEAECF0"/>
      </x:top>
    </x:border>
    <x:border>
      <x:left style="thin">
        <x:color rgb="FFE5C07B"/>
      </x:left>
      <x:top style="thin">
        <x:color rgb="FFE5C07B"/>
      </x:top>
      <x:bottom style="thin">
        <x:color rgb="FFEAECF0"/>
      </x:bottom>
    </x:border>
    <x:border>
      <x:top style="thin">
        <x:color rgb="FFE5C07B"/>
      </x:top>
      <x:bottom style="thin">
        <x:color rgb="FFEAECF0"/>
      </x:bottom>
    </x:border>
    <x:border>
      <x:right style="thin">
        <x:color rgb="FFE5C07B"/>
      </x:right>
      <x:top style="thin">
        <x:color rgb="FFE5C07B"/>
      </x:top>
      <x:bottom style="thin">
        <x:color rgb="FFEAECF0"/>
      </x:bottom>
    </x:border>
    <x:border>
      <x:left style="thin">
        <x:color rgb="FFE5C07B"/>
      </x:left>
      <x:top style="thin">
        <x:color rgb="FFEAECF0"/>
      </x:top>
      <x:bottom style="thin">
        <x:color rgb="FFEAECF0"/>
      </x:bottom>
    </x:border>
    <x:border>
      <x:right style="thin">
        <x:color rgb="FFE5C07B"/>
      </x:right>
      <x:top style="thin">
        <x:color rgb="FFEAECF0"/>
      </x:top>
      <x:bottom style="thin">
        <x:color rgb="FFEAECF0"/>
      </x:bottom>
    </x:border>
    <x:border>
      <x:left style="thin">
        <x:color rgb="FFE5C07B"/>
      </x:left>
      <x:top style="thin">
        <x:color rgb="FFEAECF0"/>
      </x:top>
      <x:bottom style="thin">
        <x:color rgb="FFE5C07B"/>
      </x:bottom>
    </x:border>
    <x:border>
      <x:top style="thin">
        <x:color rgb="FFEAECF0"/>
      </x:top>
      <x:bottom style="thin">
        <x:color rgb="FFE5C07B"/>
      </x:bottom>
    </x:border>
    <x:border>
      <x:right style="thin">
        <x:color rgb="FFE5C07B"/>
      </x:right>
      <x:top style="thin">
        <x:color rgb="FFEAECF0"/>
      </x:top>
      <x:bottom style="thin">
        <x:color rgb="FFE5C07B"/>
      </x:bottom>
    </x:border>
    <x:border>
      <x:left style="thin">
        <x:color rgb="FFE5C07B"/>
      </x:left>
      <x:right style="thin">
        <x:color rgb="FFE5C07B"/>
      </x:right>
      <x:top style="thin">
        <x:color rgb="FFE5C07B"/>
      </x:top>
      <x:bottom style="thin">
        <x:color rgb="FFEAECF0"/>
      </x:bottom>
    </x:border>
    <x:border>
      <x:left style="thin">
        <x:color rgb="FFE5C07B"/>
      </x:left>
      <x:right style="thin">
        <x:color rgb="FFE5C07B"/>
      </x:right>
      <x:top style="thin">
        <x:color rgb="FFEAECF0"/>
      </x:top>
      <x:bottom style="thin">
        <x:color rgb="FFEAECF0"/>
      </x:bottom>
    </x:border>
    <x:border>
      <x:left style="thin">
        <x:color rgb="FFE5C07B"/>
      </x:left>
      <x:right style="thin">
        <x:color rgb="FFE5C07B"/>
      </x:right>
      <x:top style="thin">
        <x:color rgb="FFEAECF0"/>
      </x:top>
      <x:bottom style="thin">
        <x:color rgb="FFE5C07B"/>
      </x:bottom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</x:borders>
  <x:cellStyleXfs count="1">
    <x:xf numFmtId="0" fontId="0" fillId="0" borderId="0"/>
  </x:cellStyleXfs>
  <x:cellXfs count="6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0" borderId="0" xfId="0" applyNumberFormat="1" applyFont="1" applyFill="1" applyBorder="1"/>
    <x:xf numFmtId="0" fontId="7" fillId="5" borderId="5" xfId="0" applyNumberFormat="1" applyFont="1" applyFill="1" applyBorder="1"/>
    <x:xf numFmtId="200" fontId="5" fillId="5" borderId="2" xfId="0" applyNumberFormat="1" applyFont="1" applyFill="1" applyBorder="1"/>
    <x:xf numFmtId="201" fontId="5" fillId="5" borderId="3" xfId="0" applyNumberFormat="1" applyFont="1" applyFill="1" applyBorder="1"/>
    <x:xf numFmtId="202" fontId="5" fillId="5" borderId="3" xfId="0" applyNumberFormat="1" applyFont="1" applyFill="1" applyBorder="1"/>
    <x:xf numFmtId="203" fontId="5" fillId="5" borderId="3" xfId="0" applyNumberFormat="1" applyFont="1" applyFill="1" applyBorder="1"/>
    <x:xf numFmtId="204" fontId="5" fillId="5" borderId="3" xfId="0" applyNumberFormat="1" applyFont="1" applyFill="1" applyBorder="1"/>
    <x:xf numFmtId="204" fontId="5" fillId="5" borderId="4" xfId="0" applyNumberFormat="1" applyFont="1" applyFill="1" applyBorder="1"/>
    <x:xf numFmtId="205" fontId="6" fillId="6" borderId="0" xfId="0" applyNumberFormat="1" applyFont="1" applyFill="1" applyBorder="1"/>
    <x:xf numFmtId="203" fontId="5" fillId="5" borderId="2" xfId="0" applyNumberFormat="1" applyFont="1" applyFill="1" applyBorder="1"/>
    <x:xf numFmtId="202" fontId="5" fillId="5" borderId="4" xfId="0" applyNumberFormat="1" applyFont="1" applyFill="1" applyBorder="1"/>
    <x:xf numFmtId="205" fontId="7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2" fontId="7" fillId="5" borderId="5" xfId="0" applyNumberFormat="1" applyFont="1" applyFill="1" applyBorder="1"/>
    <x:xf numFmtId="203" fontId="7" fillId="5" borderId="5" xfId="0" applyNumberFormat="1" applyFont="1" applyFill="1" applyBorder="1"/>
    <x:xf numFmtId="0" fontId="5" fillId="0" borderId="0" xfId="0" applyNumberFormat="1" applyFont="1" applyFill="1" applyBorder="1"/>
    <x:xf numFmtId="203" fontId="5" fillId="0" borderId="0" xfId="0" applyNumberFormat="1" applyFont="1" applyFill="1" applyBorder="1"/>
    <x:xf numFmtId="205" fontId="5" fillId="0" borderId="0" xfId="0" applyNumberFormat="1" applyFont="1" applyFill="1" applyBorder="1"/>
    <x:xf numFmtId="205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/>
    </x:xf>
    <x:xf numFmtId="0" fontId="12" fillId="4" borderId="1" xfId="0" applyNumberFormat="1" applyFont="1" applyFill="1" applyBorder="1" applyAlignment="1">
      <x:alignment vertical="center" wrapText="1"/>
    </x:xf>
    <x:xf numFmtId="200" fontId="13" fillId="5" borderId="2" xfId="0" applyNumberFormat="1" applyFont="1" applyFill="1" applyBorder="1"/>
    <x:xf numFmtId="205" fontId="14" fillId="0" borderId="0" xfId="0" applyNumberFormat="1" applyFont="1" applyFill="1" applyBorder="1"/>
    <x:xf numFmtId="201" fontId="13" fillId="5" borderId="3" xfId="0" applyNumberFormat="1" applyFont="1" applyFill="1" applyBorder="1"/>
    <x:xf numFmtId="202" fontId="13" fillId="5" borderId="3" xfId="0" applyNumberFormat="1" applyFont="1" applyFill="1" applyBorder="1"/>
    <x:xf numFmtId="203" fontId="13" fillId="5" borderId="3" xfId="0" applyNumberFormat="1" applyFont="1" applyFill="1" applyBorder="1"/>
    <x:xf numFmtId="201" fontId="14" fillId="0" borderId="0" xfId="0" applyNumberFormat="1" applyFont="1" applyFill="1" applyBorder="1"/>
    <x:xf numFmtId="204" fontId="13" fillId="5" borderId="3" xfId="0" applyNumberFormat="1" applyFont="1" applyFill="1" applyBorder="1"/>
    <x:xf numFmtId="202" fontId="14" fillId="0" borderId="0" xfId="0" applyNumberFormat="1" applyFont="1" applyFill="1" applyBorder="1"/>
    <x:xf numFmtId="204" fontId="13" fillId="5" borderId="4" xfId="0" applyNumberFormat="1" applyFont="1" applyFill="1" applyBorder="1"/>
    <x:xf numFmtId="203" fontId="14" fillId="5" borderId="5" xfId="0" applyNumberFormat="1" applyFont="1" applyFill="1" applyBorder="1"/>
    <x:xf numFmtId="205" fontId="15" fillId="6" borderId="0" xfId="0" applyNumberFormat="1" applyFont="1" applyFill="1" applyBorder="1"/>
    <x:xf numFmtId="203" fontId="13" fillId="5" borderId="2" xfId="0" applyNumberFormat="1" applyFont="1" applyFill="1" applyBorder="1"/>
    <x:xf numFmtId="202" fontId="13" fillId="5" borderId="4" xfId="0" applyNumberFormat="1" applyFont="1" applyFill="1" applyBorder="1"/>
    <x:xf numFmtId="0" fontId="13" fillId="0" borderId="0" xfId="0" applyNumberFormat="1" applyFont="1" applyFill="1" applyBorder="1"/>
    <x:xf numFmtId="203" fontId="13" fillId="0" borderId="0" xfId="0" applyNumberFormat="1" applyFont="1" applyFill="1" applyBorder="1"/>
    <x:xf numFmtId="205" fontId="13" fillId="0" borderId="0" xfId="0" applyNumberFormat="1" applyFont="1" applyFill="1" applyBorder="1"/>
    <x:xf numFmtId="205" fontId="9" fillId="0" borderId="0" xfId="0" applyNumberFormat="1" applyFont="1" applyFill="1" applyBorder="1"/>
    <x:xf numFmtId="204" fontId="9" fillId="0" borderId="0" xfId="0" applyNumberFormat="1" applyFont="1" applyFill="1" applyBorder="1"/>
    <x:xf numFmtId="0" fontId="16" fillId="0" borderId="0" xfId="0" applyNumberFormat="1" applyFont="1" applyFill="1" applyBorder="1"/>
    <x:xf numFmtId="0" fontId="16" fillId="0" borderId="6" xfId="0" applyNumberFormat="1" applyFont="1" applyFill="1" applyBorder="1"/>
    <x:xf numFmtId="0" fontId="16" fillId="0" borderId="7" xfId="0" applyNumberFormat="1" applyFont="1" applyFill="1" applyBorder="1"/>
    <x:xf numFmtId="0" fontId="16" fillId="0" borderId="8" xfId="0" applyNumberFormat="1" applyFont="1" applyFill="1" applyBorder="1"/>
    <x:xf numFmtId="0" fontId="16" fillId="5" borderId="6" xfId="0" applyNumberFormat="1" applyFont="1" applyFill="1" applyBorder="1"/>
    <x:xf numFmtId="0" fontId="16" fillId="5" borderId="7" xfId="0" applyNumberFormat="1" applyFont="1" applyFill="1" applyBorder="1"/>
    <x:xf numFmtId="0" fontId="16" fillId="5" borderId="8" xfId="0" applyNumberFormat="1" applyFont="1" applyFill="1" applyBorder="1"/>
    <x:xf numFmtId="0" fontId="17" fillId="5" borderId="6" xfId="0" applyNumberFormat="1" applyFont="1" applyFill="1" applyBorder="1"/>
    <x:xf numFmtId="0" fontId="17" fillId="5" borderId="7" xfId="0" applyNumberFormat="1" applyFont="1" applyFill="1" applyBorder="1"/>
    <x:xf numFmtId="0" fontId="17" fillId="5" borderId="8" xfId="0" applyNumberFormat="1" applyFont="1" applyFill="1" applyBorder="1"/>
    <x:xf numFmtId="0" fontId="17" fillId="5" borderId="9" xfId="0" applyNumberFormat="1" applyFont="1" applyFill="1" applyBorder="1"/>
    <x:xf numFmtId="0" fontId="17" fillId="5" borderId="10" xfId="0" applyNumberFormat="1" applyFont="1" applyFill="1" applyBorder="1"/>
    <x:xf numFmtId="0" fontId="17" fillId="5" borderId="11" xfId="0" applyNumberFormat="1" applyFont="1" applyFill="1" applyBorder="1"/>
    <x:xf numFmtId="0" fontId="17" fillId="5" borderId="12" xfId="0" applyNumberFormat="1" applyFont="1" applyFill="1" applyBorder="1"/>
    <x:xf numFmtId="0" fontId="17" fillId="5" borderId="13" xfId="0" applyNumberFormat="1" applyFont="1" applyFill="1" applyBorder="1"/>
    <x:xf numFmtId="0" fontId="17" fillId="5" borderId="14" xfId="0" applyNumberFormat="1" applyFont="1" applyFill="1" applyBorder="1"/>
    <x:xf numFmtId="0" fontId="17" fillId="5" borderId="15" xfId="0" applyNumberFormat="1" applyFont="1" applyFill="1" applyBorder="1"/>
    <x:xf numFmtId="0" fontId="17" fillId="5" borderId="16" xfId="0" applyNumberFormat="1" applyFont="1" applyFill="1" applyBorder="1"/>
    <x:xf numFmtId="0" fontId="17" fillId="5" borderId="17" xfId="0" applyNumberFormat="1" applyFont="1" applyFill="1" applyBorder="1"/>
    <x:xf numFmtId="0" fontId="17" fillId="5" borderId="18" xfId="0" applyNumberFormat="1" applyFont="1" applyFill="1" applyBorder="1"/>
    <x:xf numFmtId="0" fontId="17" fillId="5" borderId="19" xfId="0" applyNumberFormat="1" applyFont="1" applyFill="1" applyBorder="1"/>
    <x:xf numFmtId="200" fontId="17" fillId="5" borderId="9" xfId="0" applyNumberFormat="1" applyFont="1" applyFill="1" applyBorder="1"/>
    <x:xf numFmtId="200" fontId="17" fillId="5" borderId="12" xfId="0" applyNumberFormat="1" applyFont="1" applyFill="1" applyBorder="1"/>
    <x:xf numFmtId="200" fontId="17" fillId="5" borderId="14" xfId="0" applyNumberFormat="1" applyFont="1" applyFill="1" applyBorder="1"/>
    <x:xf numFmtId="205" fontId="16" fillId="0" borderId="6" xfId="0" applyNumberFormat="1" applyFont="1" applyFill="1" applyBorder="1"/>
    <x:xf numFmtId="205" fontId="17" fillId="5" borderId="17" xfId="0" applyNumberFormat="1" applyFont="1" applyFill="1" applyBorder="1"/>
    <x:xf numFmtId="205" fontId="16" fillId="0" borderId="7" xfId="0" applyNumberFormat="1" applyFont="1" applyFill="1" applyBorder="1"/>
    <x:xf numFmtId="205" fontId="17" fillId="5" borderId="18" xfId="0" applyNumberFormat="1" applyFont="1" applyFill="1" applyBorder="1"/>
    <x:xf numFmtId="205" fontId="16" fillId="0" borderId="8" xfId="0" applyNumberFormat="1" applyFont="1" applyFill="1" applyBorder="1"/>
    <x:xf numFmtId="205" fontId="17" fillId="5" borderId="19" xfId="0" applyNumberFormat="1" applyFont="1" applyFill="1" applyBorder="1"/>
    <x:xf numFmtId="203" fontId="16" fillId="0" borderId="6" xfId="0" applyNumberFormat="1" applyFont="1" applyFill="1" applyBorder="1"/>
    <x:xf numFmtId="203" fontId="16" fillId="0" borderId="7" xfId="0" applyNumberFormat="1" applyFont="1" applyFill="1" applyBorder="1"/>
    <x:xf numFmtId="203" fontId="16" fillId="0" borderId="8" xfId="0" applyNumberFormat="1" applyFont="1" applyFill="1" applyBorder="1"/>
    <x:xf numFmtId="0" fontId="0" fillId="7" borderId="0" xfId="0" applyNumberFormat="1" applyFont="1" applyFill="1" applyBorder="1"/>
    <x:xf numFmtId="0" fontId="0" fillId="7" borderId="20" xfId="0" applyNumberFormat="1" applyFont="1" applyFill="1" applyBorder="1"/>
    <x:xf numFmtId="0" fontId="0" fillId="7" borderId="21" xfId="0" applyNumberFormat="1" applyFont="1" applyFill="1" applyBorder="1"/>
    <x:xf numFmtId="0" fontId="0" fillId="7" borderId="22" xfId="0" applyNumberFormat="1" applyFont="1" applyFill="1" applyBorder="1"/>
    <x:xf numFmtId="0" fontId="0" fillId="7" borderId="23" xfId="0" applyNumberFormat="1" applyFont="1" applyFill="1" applyBorder="1"/>
    <x:xf numFmtId="0" fontId="0" fillId="7" borderId="24" xfId="0" applyNumberFormat="1" applyFont="1" applyFill="1" applyBorder="1"/>
    <x:xf numFmtId="0" fontId="0" fillId="7" borderId="25" xfId="0" applyNumberFormat="1" applyFont="1" applyFill="1" applyBorder="1"/>
    <x:xf numFmtId="0" fontId="0" fillId="7" borderId="20" xfId="0" applyNumberFormat="1" applyFont="1" applyFill="1" applyBorder="1" applyAlignment="1">
      <x:alignment vertical="center"/>
    </x:xf>
    <x:xf numFmtId="0" fontId="0" fillId="7" borderId="21" xfId="0" applyNumberFormat="1" applyFont="1" applyFill="1" applyBorder="1" applyAlignment="1">
      <x:alignment vertical="center"/>
    </x:xf>
    <x:xf numFmtId="0" fontId="0" fillId="7" borderId="22" xfId="0" applyNumberFormat="1" applyFont="1" applyFill="1" applyBorder="1" applyAlignment="1">
      <x:alignment vertical="center"/>
    </x:xf>
    <x:xf numFmtId="0" fontId="0" fillId="7" borderId="23" xfId="0" applyNumberFormat="1" applyFont="1" applyFill="1" applyBorder="1" applyAlignment="1">
      <x:alignment vertical="center"/>
    </x:xf>
    <x:xf numFmtId="0" fontId="0" fillId="7" borderId="24" xfId="0" applyNumberFormat="1" applyFont="1" applyFill="1" applyBorder="1" applyAlignment="1">
      <x:alignment vertical="center"/>
    </x:xf>
    <x:xf numFmtId="0" fontId="0" fillId="7" borderId="25" xfId="0" applyNumberFormat="1" applyFont="1" applyFill="1" applyBorder="1" applyAlignment="1">
      <x:alignment vertical="center"/>
    </x:xf>
    <x:xf numFmtId="0" fontId="18" fillId="7" borderId="20" xfId="0" applyNumberFormat="1" applyFont="1" applyFill="1" applyBorder="1" applyAlignment="1">
      <x:alignment vertical="center"/>
    </x:xf>
    <x:xf numFmtId="0" fontId="18" fillId="7" borderId="22" xfId="0" applyNumberFormat="1" applyFont="1" applyFill="1" applyBorder="1" applyAlignment="1">
      <x:alignment vertical="center"/>
    </x:xf>
    <x:xf numFmtId="0" fontId="18" fillId="7" borderId="24" xfId="0" applyNumberFormat="1" applyFont="1" applyFill="1" applyBorder="1" applyAlignment="1">
      <x:alignment vertical="center"/>
    </x:xf>
    <x:xf numFmtId="0" fontId="19" fillId="7" borderId="21" xfId="0" applyNumberFormat="1" applyFont="1" applyFill="1" applyBorder="1" applyAlignment="1">
      <x:alignment vertical="center"/>
    </x:xf>
    <x:xf numFmtId="0" fontId="19" fillId="7" borderId="23" xfId="0" applyNumberFormat="1" applyFont="1" applyFill="1" applyBorder="1" applyAlignment="1">
      <x:alignment vertical="center"/>
    </x:xf>
    <x:xf numFmtId="0" fontId="19" fillId="7" borderId="25" xfId="0" applyNumberFormat="1" applyFont="1" applyFill="1" applyBorder="1" applyAlignment="1">
      <x:alignment vertical="center"/>
    </x:xf>
    <x:xf numFmtId="0" fontId="20" fillId="7" borderId="21" xfId="0" applyNumberFormat="1" applyFont="1" applyFill="1" applyBorder="1" applyAlignment="1">
      <x:alignment vertical="center"/>
    </x:xf>
    <x:xf numFmtId="0" fontId="20" fillId="7" borderId="23" xfId="0" applyNumberFormat="1" applyFont="1" applyFill="1" applyBorder="1" applyAlignment="1">
      <x:alignment vertical="center"/>
    </x:xf>
    <x:xf numFmtId="0" fontId="20" fillId="7" borderId="25" xfId="0" applyNumberFormat="1" applyFont="1" applyFill="1" applyBorder="1" applyAlignment="1">
      <x:alignment vertical="center"/>
    </x:xf>
    <x:xf numFmtId="203" fontId="19" fillId="7" borderId="21" xfId="0" applyNumberFormat="1" applyFont="1" applyFill="1" applyBorder="1" applyAlignment="1">
      <x:alignment vertical="center"/>
    </x:xf>
    <x:xf numFmtId="206" fontId="19" fillId="7" borderId="23" xfId="0" applyNumberFormat="1" applyFont="1" applyFill="1" applyBorder="1" applyAlignment="1">
      <x:alignment vertical="center"/>
    </x:xf>
    <x:xf numFmtId="206" fontId="19" fillId="7" borderId="25" xfId="0" applyNumberFormat="1" applyFont="1" applyFill="1" applyBorder="1" applyAlignment="1">
      <x:alignment vertical="center"/>
    </x:xf>
    <x:xf numFmtId="206" fontId="19" fillId="7" borderId="21" xfId="0" applyNumberFormat="1" applyFont="1" applyFill="1" applyBorder="1" applyAlignment="1">
      <x:alignment vertical="center"/>
    </x:xf>
    <x:xf numFmtId="207" fontId="20" fillId="7" borderId="21" xfId="0" applyNumberFormat="1" applyFont="1" applyFill="1" applyBorder="1" applyAlignment="1">
      <x:alignment vertical="center"/>
    </x:xf>
    <x:xf numFmtId="202" fontId="20" fillId="7" borderId="23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21" fillId="8" borderId="0" xfId="0" applyNumberFormat="1" applyFont="1" applyFill="1" applyBorder="1"/>
    <x:xf numFmtId="0" fontId="21" fillId="8" borderId="6" xfId="0" applyNumberFormat="1" applyFont="1" applyFill="1" applyBorder="1"/>
    <x:xf numFmtId="0" fontId="21" fillId="8" borderId="0" xfId="0" applyNumberFormat="1" applyFont="1" applyFill="1" applyBorder="1" applyAlignment="1">
      <x:alignment vertical="center"/>
    </x:xf>
    <x:xf numFmtId="0" fontId="21" fillId="8" borderId="6" xfId="0" applyNumberFormat="1" applyFont="1" applyFill="1" applyBorder="1" applyAlignment="1">
      <x:alignment vertical="center"/>
    </x:xf>
    <x:xf numFmtId="205" fontId="0" fillId="6" borderId="0" xfId="0" applyNumberFormat="1" applyFont="1" applyFill="1" applyBorder="1"/>
    <x:xf numFmtId="0" fontId="22" fillId="7" borderId="20" xfId="0" applyNumberFormat="1" applyFont="1" applyFill="1" applyBorder="1" applyAlignment="1">
      <x:alignment vertical="center"/>
    </x:xf>
    <x:xf numFmtId="203" fontId="23" fillId="7" borderId="21" xfId="0" applyNumberFormat="1" applyFont="1" applyFill="1" applyBorder="1" applyAlignment="1">
      <x:alignment vertical="center"/>
    </x:xf>
    <x:xf numFmtId="206" fontId="23" fillId="7" borderId="21" xfId="0" applyNumberFormat="1" applyFont="1" applyFill="1" applyBorder="1" applyAlignment="1">
      <x:alignment vertical="center"/>
    </x:xf>
    <x:xf numFmtId="207" fontId="24" fillId="7" borderId="21" xfId="0" applyNumberFormat="1" applyFont="1" applyFill="1" applyBorder="1" applyAlignment="1">
      <x:alignment vertical="center"/>
    </x:xf>
    <x:xf numFmtId="0" fontId="22" fillId="7" borderId="22" xfId="0" applyNumberFormat="1" applyFont="1" applyFill="1" applyBorder="1" applyAlignment="1">
      <x:alignment vertical="center"/>
    </x:xf>
    <x:xf numFmtId="206" fontId="23" fillId="7" borderId="23" xfId="0" applyNumberFormat="1" applyFont="1" applyFill="1" applyBorder="1" applyAlignment="1">
      <x:alignment vertical="center"/>
    </x:xf>
    <x:xf numFmtId="202" fontId="24" fillId="7" borderId="23" xfId="0" applyNumberFormat="1" applyFont="1" applyFill="1" applyBorder="1" applyAlignment="1">
      <x:alignment vertical="center"/>
    </x:xf>
    <x:xf numFmtId="0" fontId="24" fillId="7" borderId="23" xfId="0" applyNumberFormat="1" applyFont="1" applyFill="1" applyBorder="1" applyAlignment="1">
      <x:alignment vertical="center"/>
    </x:xf>
    <x:xf numFmtId="0" fontId="22" fillId="7" borderId="24" xfId="0" applyNumberFormat="1" applyFont="1" applyFill="1" applyBorder="1" applyAlignment="1">
      <x:alignment vertical="center"/>
    </x:xf>
    <x:xf numFmtId="206" fontId="23" fillId="7" borderId="25" xfId="0" applyNumberFormat="1" applyFont="1" applyFill="1" applyBorder="1" applyAlignment="1">
      <x:alignment vertical="center"/>
    </x:xf>
    <x:xf numFmtId="0" fontId="24" fillId="7" borderId="25" xfId="0" applyNumberFormat="1" applyFont="1" applyFill="1" applyBorder="1" applyAlignment="1">
      <x:alignment vertical="center"/>
    </x:xf>
    <x:xf numFmtId="0" fontId="25" fillId="8" borderId="0" xfId="0" applyNumberFormat="1" applyFont="1" applyFill="1" applyBorder="1" applyAlignment="1">
      <x:alignment vertical="center"/>
    </x:xf>
    <x:xf numFmtId="0" fontId="25" fillId="8" borderId="6" xfId="0" applyNumberFormat="1" applyFont="1" applyFill="1" applyBorder="1" applyAlignment="1">
      <x:alignment vertical="center"/>
    </x:xf>
    <x:xf numFmtId="0" fontId="26" fillId="2" borderId="0" xfId="0" applyNumberFormat="1" applyFont="1" applyFill="1" applyBorder="1"/>
    <x:xf numFmtId="201" fontId="0" fillId="0" borderId="0" xfId="0" applyNumberFormat="1" applyFont="1" applyFill="1" applyBorder="1"/>
    <x:xf numFmtId="201" fontId="9" fillId="0" borderId="0" xfId="0" applyNumberFormat="1" applyFont="1" applyFill="1" applyBorder="1"/>
    <x:xf numFmtId="0" fontId="27" fillId="2" borderId="0" xfId="0" applyNumberFormat="1" applyFont="1" applyFill="1" applyBorder="1"/>
    <x:xf numFmtId="200" fontId="0" fillId="0" borderId="0" xfId="0" applyNumberFormat="1" applyFont="1" applyFill="1" applyBorder="1"/>
    <x:xf numFmtId="20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8" fillId="9" borderId="0" xfId="0" applyNumberFormat="1" applyFont="1" applyFill="1" applyBorder="1"/>
    <x:xf numFmtId="0" fontId="28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29" fillId="10" borderId="0" xfId="0" applyNumberFormat="1" applyFont="1" applyFill="1" applyBorder="1"/>
    <x:xf numFmtId="0" fontId="29" fillId="10" borderId="0" xfId="0" applyNumberFormat="1" applyFont="1" applyFill="1" applyBorder="1" applyAlignment="1">
      <x:alignment wrapText="1"/>
    </x:xf>
    <x:xf numFmtId="0" fontId="29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1" xfId="0" applyNumberFormat="1" applyFont="1" applyFill="1" applyBorder="1"/>
    <x:xf numFmtId="0" fontId="30" fillId="0" borderId="0" xfId="0" applyNumberFormat="1" applyFont="1" applyFill="1" applyBorder="1"/>
    <x:xf numFmtId="0" fontId="30" fillId="0" borderId="6" xfId="0" applyNumberFormat="1" applyFont="1" applyFill="1" applyBorder="1"/>
    <x:xf numFmtId="0" fontId="30" fillId="0" borderId="7" xfId="0" applyNumberFormat="1" applyFont="1" applyFill="1" applyBorder="1"/>
    <x:xf numFmtId="0" fontId="30" fillId="0" borderId="8" xfId="0" applyNumberFormat="1" applyFont="1" applyFill="1" applyBorder="1"/>
    <x:xf numFmtId="208" fontId="30" fillId="0" borderId="6" xfId="0" applyNumberFormat="1" applyFont="1" applyFill="1" applyBorder="1"/>
    <x:xf numFmtId="208" fontId="30" fillId="0" borderId="7" xfId="0" applyNumberFormat="1" applyFont="1" applyFill="1" applyBorder="1"/>
    <x:xf numFmtId="208" fontId="30" fillId="0" borderId="8" xfId="0" applyNumberFormat="1" applyFont="1" applyFill="1" applyBorder="1"/>
    <x:xf numFmtId="209" fontId="30" fillId="0" borderId="6" xfId="0" applyNumberFormat="1" applyFont="1" applyFill="1" applyBorder="1"/>
    <x:xf numFmtId="209" fontId="30" fillId="0" borderId="7" xfId="0" applyNumberFormat="1" applyFont="1" applyFill="1" applyBorder="1"/>
    <x:xf numFmtId="209" fontId="30" fillId="0" borderId="8" xfId="0" applyNumberFormat="1" applyFont="1" applyFill="1" applyBorder="1"/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1" xfId="0" applyNumberFormat="1" applyFont="1" applyFill="1" applyBorder="1"/>
    <x:xf numFmtId="0" fontId="4" fillId="14" borderId="1" xfId="0" applyNumberFormat="1" applyFont="1" applyFill="1" applyBorder="1" applyAlignment="1">
      <x:alignment wrapText="1"/>
    </x:xf>
    <x:xf numFmtId="0" fontId="4" fillId="14" borderId="1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2" xfId="0" applyNumberFormat="1" applyFont="1" applyFill="1" applyBorder="1"/>
    <x:xf numFmtId="0" fontId="5" fillId="15" borderId="3" xfId="0" applyNumberFormat="1" applyFont="1" applyFill="1" applyBorder="1"/>
    <x:xf numFmtId="0" fontId="5" fillId="15" borderId="4" xfId="0" applyNumberFormat="1" applyFont="1" applyFill="1" applyBorder="1"/>
    <x:xf numFmtId="201" fontId="5" fillId="15" borderId="2" xfId="0" applyNumberFormat="1" applyFont="1" applyFill="1" applyBorder="1"/>
    <x:xf numFmtId="204" fontId="5" fillId="15" borderId="3" xfId="0" applyNumberFormat="1" applyFont="1" applyFill="1" applyBorder="1"/>
    <x:xf numFmtId="210" fontId="5" fillId="15" borderId="3" xfId="0" applyNumberFormat="1" applyFont="1" applyFill="1" applyBorder="1"/>
    <x:xf numFmtId="210" fontId="5" fillId="15" borderId="4" xfId="0" applyNumberFormat="1" applyFont="1" applyFill="1" applyBorder="1"/>
    <x:xf numFmtId="210" fontId="5" fillId="15" borderId="2" xfId="0" applyNumberFormat="1" applyFont="1" applyFill="1" applyBorder="1"/>
    <x:xf numFmtId="211" fontId="5" fillId="15" borderId="3" xfId="0" applyNumberFormat="1" applyFont="1" applyFill="1" applyBorder="1"/>
    <x:xf numFmtId="209" fontId="5" fillId="15" borderId="4" xfId="0" applyNumberFormat="1" applyFont="1" applyFill="1" applyBorder="1"/>
    <x:xf numFmtId="211" fontId="0" fillId="0" borderId="0" xfId="0" applyNumberFormat="1" applyFont="1" applyFill="1" applyBorder="1"/>
    <x:xf numFmtId="203" fontId="0" fillId="0" borderId="0" xfId="0" applyNumberFormat="1" applyFont="1" applyFill="1" applyBorder="1"/>
    <x:xf numFmtId="210" fontId="0" fillId="0" borderId="0" xfId="0" applyNumberFormat="1" applyFont="1" applyFill="1" applyBorder="1"/>
    <x:xf numFmtId="205" fontId="0" fillId="16" borderId="0" xfId="0" applyNumberFormat="1" applyFont="1" applyFill="1" applyBorder="1"/>
    <x:xf numFmtId="205" fontId="6" fillId="16" borderId="0" xfId="0" applyNumberFormat="1" applyFont="1" applyFill="1" applyBorder="1"/>
    <x:xf numFmtId="205" fontId="0" fillId="17" borderId="0" xfId="0" applyNumberFormat="1" applyFont="1" applyFill="1" applyBorder="1"/>
    <x:xf numFmtId="205" fontId="31" fillId="17" borderId="0" xfId="0" applyNumberFormat="1" applyFont="1" applyFill="1" applyBorder="1"/>
    <x:xf numFmtId="0" fontId="8" fillId="12" borderId="0" xfId="0" applyNumberFormat="1" applyFont="1" applyFill="1" applyBorder="1" applyAlignment="1">
      <x:alignment vertical="center"/>
    </x:xf>
    <x:xf numFmtId="0" fontId="10" fillId="13" borderId="0" xfId="0" applyNumberFormat="1" applyFont="1" applyFill="1" applyBorder="1" applyAlignment="1">
      <x:alignment vertical="center" wrapText="1"/>
    </x:xf>
    <x:xf numFmtId="0" fontId="11" fillId="12" borderId="0" xfId="0" applyNumberFormat="1" applyFont="1" applyFill="1" applyBorder="1" applyAlignment="1">
      <x:alignment vertical="center"/>
    </x:xf>
    <x:xf numFmtId="0" fontId="12" fillId="14" borderId="1" xfId="0" applyNumberFormat="1" applyFont="1" applyFill="1" applyBorder="1" applyAlignment="1">
      <x:alignment vertical="center" wrapText="1"/>
    </x:xf>
    <x:xf numFmtId="201" fontId="13" fillId="15" borderId="2" xfId="0" applyNumberFormat="1" applyFont="1" applyFill="1" applyBorder="1"/>
    <x:xf numFmtId="210" fontId="13" fillId="15" borderId="2" xfId="0" applyNumberFormat="1" applyFont="1" applyFill="1" applyBorder="1"/>
    <x:xf numFmtId="204" fontId="13" fillId="15" borderId="3" xfId="0" applyNumberFormat="1" applyFont="1" applyFill="1" applyBorder="1"/>
    <x:xf numFmtId="211" fontId="13" fillId="15" borderId="3" xfId="0" applyNumberFormat="1" applyFont="1" applyFill="1" applyBorder="1"/>
    <x:xf numFmtId="210" fontId="13" fillId="15" borderId="3" xfId="0" applyNumberFormat="1" applyFont="1" applyFill="1" applyBorder="1"/>
    <x:xf numFmtId="210" fontId="13" fillId="15" borderId="4" xfId="0" applyNumberFormat="1" applyFont="1" applyFill="1" applyBorder="1"/>
    <x:xf numFmtId="209" fontId="13" fillId="15" borderId="4" xfId="0" applyNumberFormat="1" applyFont="1" applyFill="1" applyBorder="1"/>
    <x:xf numFmtId="203" fontId="9" fillId="0" borderId="0" xfId="0" applyNumberFormat="1" applyFont="1" applyFill="1" applyBorder="1"/>
    <x:xf numFmtId="211" fontId="9" fillId="0" borderId="0" xfId="0" applyNumberFormat="1" applyFont="1" applyFill="1" applyBorder="1"/>
    <x:xf numFmtId="210" fontId="9" fillId="0" borderId="0" xfId="0" applyNumberFormat="1" applyFont="1" applyFill="1" applyBorder="1"/>
    <x:xf numFmtId="205" fontId="15" fillId="16" borderId="0" xfId="0" applyNumberFormat="1" applyFont="1" applyFill="1" applyBorder="1"/>
    <x:xf numFmtId="205" fontId="32" fillId="17" borderId="0" xfId="0" applyNumberFormat="1" applyFont="1" applyFill="1" applyBorder="1"/>
    <x:xf numFmtId="200" fontId="13" fillId="15" borderId="2" xfId="0" applyNumberFormat="1" applyFont="1" applyFill="1" applyBorder="1"/>
    <x:xf numFmtId="201" fontId="13" fillId="15" borderId="3" xfId="0" applyNumberFormat="1" applyFont="1" applyFill="1" applyBorder="1"/>
    <x:xf numFmtId="202" fontId="13" fillId="15" borderId="3" xfId="0" applyNumberFormat="1" applyFont="1" applyFill="1" applyBorder="1"/>
    <x:xf numFmtId="203" fontId="13" fillId="15" borderId="3" xfId="0" applyNumberFormat="1" applyFont="1" applyFill="1" applyBorder="1"/>
    <x:xf numFmtId="204" fontId="13" fillId="15" borderId="4" xfId="0" applyNumberFormat="1" applyFont="1" applyFill="1" applyBorder="1"/>
    <x:xf numFmtId="202" fontId="13" fillId="18" borderId="3" xfId="0" applyNumberFormat="1" applyFont="1" applyFill="1" applyBorder="1"/>
    <x:xf numFmtId="202" fontId="15" fillId="18" borderId="3" xfId="0" applyNumberFormat="1" applyFont="1" applyFill="1" applyBorder="1"/>
    <x:xf numFmtId="205" fontId="15" fillId="18" borderId="3" xfId="0" applyNumberFormat="1" applyFont="1" applyFill="1" applyBorder="1"/>
    <x:xf numFmtId="203" fontId="13" fillId="15" borderId="2" xfId="0" applyNumberFormat="1" applyFont="1" applyFill="1" applyBorder="1"/>
    <x:xf numFmtId="202" fontId="13" fillId="15" borderId="4" xfId="0" applyNumberFormat="1" applyFont="1" applyFill="1" applyBorder="1"/>
    <x:xf numFmtId="209" fontId="13" fillId="15" borderId="2" xfId="0" applyNumberFormat="1" applyFont="1" applyFill="1" applyBorder="1"/>
    <x:xf numFmtId="212" fontId="13" fillId="15" borderId="4" xfId="0" applyNumberFormat="1" applyFont="1" applyFill="1" applyBorder="1"/>
    <x:xf numFmtId="210" fontId="14" fillId="0" borderId="0" xfId="0" applyNumberFormat="1" applyFont="1" applyFill="1" applyBorder="1"/>
    <x:xf numFmtId="209" fontId="9" fillId="0" borderId="0" xfId="0" applyNumberFormat="1" applyFont="1" applyFill="1" applyBorder="1"/>
    <x:xf numFmtId="209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9" fillId="19" borderId="0" xfId="0" applyNumberFormat="1" applyFont="1" applyFill="1" applyBorder="1"/>
    <x:xf numFmtId="0" fontId="13" fillId="19" borderId="0" xfId="0" applyNumberFormat="1" applyFont="1" applyFill="1" applyBorder="1"/>
    <x:xf numFmtId="0" fontId="13" fillId="19" borderId="5" xfId="0" applyNumberFormat="1" applyFont="1" applyFill="1" applyBorder="1"/>
    <x:xf numFmtId="202" fontId="13" fillId="19" borderId="5" xfId="0" applyNumberFormat="1" applyFont="1" applyFill="1" applyBorder="1"/>
    <x:xf numFmtId="207" fontId="14" fillId="0" borderId="0" xfId="0" applyNumberFormat="1" applyFont="1" applyFill="1" applyBorder="1"/>
    <x:xf numFmtId="0" fontId="24" fillId="7" borderId="25" xfId="0" applyNumberFormat="1" applyFont="1" applyFill="1" applyBorder="1" applyAlignment="1">
      <x:alignment vertical="center" wrapText="1"/>
    </x:xf>
    <x:xf numFmtId="210" fontId="13" fillId="5" borderId="2" xfId="0" applyNumberFormat="1" applyFont="1" applyFill="1" applyBorder="1" applyAlignment="1">
      <x:alignment wrapText="1"/>
    </x:xf>
    <x:xf numFmtId="211" fontId="13" fillId="5" borderId="3" xfId="0" applyNumberFormat="1" applyFont="1" applyFill="1" applyBorder="1" applyAlignment="1">
      <x:alignment wrapText="1"/>
    </x:xf>
    <x:xf numFmtId="209" fontId="13" fillId="5" borderId="4" xfId="0" applyNumberFormat="1" applyFont="1" applyFill="1" applyBorder="1" applyAlignment="1">
      <x:alignment wrapText="1"/>
    </x:xf>
    <x:xf numFmtId="203" fontId="9" fillId="0" borderId="0" xfId="0" applyNumberFormat="1" applyFont="1" applyFill="1" applyBorder="1" applyAlignment="1">
      <x:alignment wrapText="1"/>
    </x:xf>
    <x:xf numFmtId="210" fontId="9" fillId="0" borderId="0" xfId="0" applyNumberFormat="1" applyFont="1" applyFill="1" applyBorder="1" applyAlignment="1">
      <x:alignment wrapText="1"/>
    </x:xf>
    <x:xf numFmtId="205" fontId="9" fillId="0" borderId="0" xfId="0" applyNumberFormat="1" applyFont="1" applyFill="1" applyBorder="1" applyAlignment="1">
      <x:alignment wrapText="1"/>
    </x:xf>
    <x:xf numFmtId="205" fontId="15" fillId="6" borderId="0" xfId="0" applyNumberFormat="1" applyFont="1" applyFill="1" applyBorder="1" applyAlignment="1">
      <x:alignment wrapText="1"/>
    </x:xf>
    <x:xf numFmtId="205" fontId="32" fillId="10" borderId="0" xfId="0" applyNumberFormat="1" applyFont="1" applyFill="1" applyBorder="1" applyAlignment="1">
      <x:alignment wrapText="1"/>
    </x:xf>
    <x:xf numFmtId="0" fontId="33" fillId="0" borderId="6" xfId="0" applyNumberFormat="1" applyFont="1" applyFill="1" applyBorder="1"/>
    <x:xf numFmtId="208" fontId="33" fillId="0" borderId="6" xfId="0" applyNumberFormat="1" applyFont="1" applyFill="1" applyBorder="1"/>
    <x:xf numFmtId="209" fontId="33" fillId="0" borderId="6" xfId="0" applyNumberFormat="1" applyFont="1" applyFill="1" applyBorder="1"/>
    <x:xf numFmtId="0" fontId="33" fillId="0" borderId="7" xfId="0" applyNumberFormat="1" applyFont="1" applyFill="1" applyBorder="1"/>
    <x:xf numFmtId="208" fontId="33" fillId="0" borderId="7" xfId="0" applyNumberFormat="1" applyFont="1" applyFill="1" applyBorder="1"/>
    <x:xf numFmtId="209" fontId="33" fillId="0" borderId="7" xfId="0" applyNumberFormat="1" applyFont="1" applyFill="1" applyBorder="1"/>
    <x:xf numFmtId="0" fontId="33" fillId="0" borderId="8" xfId="0" applyNumberFormat="1" applyFont="1" applyFill="1" applyBorder="1"/>
    <x:xf numFmtId="208" fontId="33" fillId="0" borderId="8" xfId="0" applyNumberFormat="1" applyFont="1" applyFill="1" applyBorder="1"/>
    <x:xf numFmtId="209" fontId="33" fillId="0" borderId="8" xfId="0" applyNumberFormat="1" applyFont="1" applyFill="1" applyBorder="1"/>
    <x:xf numFmtId="213" fontId="33" fillId="0" borderId="6" xfId="0" applyNumberFormat="1" applyFont="1" applyFill="1" applyBorder="1"/>
    <x:xf numFmtId="213" fontId="33" fillId="0" borderId="7" xfId="0" applyNumberFormat="1" applyFont="1" applyFill="1" applyBorder="1"/>
    <x:xf numFmtId="213" fontId="33" fillId="0" borderId="8" xfId="0" applyNumberFormat="1" applyFont="1" applyFill="1" applyBorder="1"/>
    <x:xf numFmtId="213" fontId="9" fillId="0" borderId="0" xfId="0" applyNumberFormat="1" applyFont="1" applyFill="1" applyBorder="1"/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2" fillId="21" borderId="0" xfId="0" applyNumberFormat="1" applyFont="1" applyFill="1" applyBorder="1" applyAlignment="1">
      <x:alignment vertical="center" wrapText="1"/>
    </x:xf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vertical="center"/>
    </x:xf>
    <x:xf numFmtId="0" fontId="0" fillId="22" borderId="0" xfId="0" applyNumberFormat="1" applyFont="1" applyFill="1" applyBorder="1"/>
    <x:xf numFmtId="0" fontId="4" fillId="22" borderId="0" xfId="0" applyNumberFormat="1" applyFont="1" applyFill="1" applyBorder="1"/>
    <x:xf numFmtId="0" fontId="4" fillId="22" borderId="1" xfId="0" applyNumberFormat="1" applyFont="1" applyFill="1" applyBorder="1"/>
    <x:xf numFmtId="0" fontId="4" fillId="22" borderId="1" xfId="0" applyNumberFormat="1" applyFont="1" applyFill="1" applyBorder="1" applyAlignment="1">
      <x:alignment wrapText="1"/>
    </x:xf>
    <x:xf numFmtId="0" fontId="4" fillId="22" borderId="1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5" fillId="23" borderId="0" xfId="0" applyNumberFormat="1" applyFont="1" applyFill="1" applyBorder="1"/>
    <x:xf numFmtId="0" fontId="5" fillId="23" borderId="2" xfId="0" applyNumberFormat="1" applyFont="1" applyFill="1" applyBorder="1"/>
    <x:xf numFmtId="0" fontId="5" fillId="23" borderId="4" xfId="0" applyNumberFormat="1" applyFont="1" applyFill="1" applyBorder="1"/>
    <x:xf numFmtId="0" fontId="5" fillId="23" borderId="5" xfId="0" applyNumberFormat="1" applyFont="1" applyFill="1" applyBorder="1"/>
    <x:xf numFmtId="0" fontId="5" fillId="23" borderId="3" xfId="0" applyNumberFormat="1" applyFont="1" applyFill="1" applyBorder="1"/>
    <x:xf numFmtId="0" fontId="0" fillId="24" borderId="0" xfId="0" applyNumberFormat="1" applyFont="1" applyFill="1" applyBorder="1"/>
    <x:xf numFmtId="0" fontId="5" fillId="24" borderId="5" xfId="0" applyNumberFormat="1" applyFont="1" applyFill="1" applyBorder="1"/>
    <x:xf numFmtId="0" fontId="6" fillId="24" borderId="0" xfId="0" applyNumberFormat="1" applyFont="1" applyFill="1" applyBorder="1"/>
    <x:xf numFmtId="0" fontId="6" fillId="24" borderId="5" xfId="0" applyNumberFormat="1" applyFont="1" applyFill="1" applyBorder="1"/>
    <x:xf numFmtId="0" fontId="0" fillId="25" borderId="0" xfId="0" applyNumberFormat="1" applyFont="1" applyFill="1" applyBorder="1"/>
    <x:xf numFmtId="0" fontId="6" fillId="25" borderId="0" xfId="0" applyNumberFormat="1" applyFont="1" applyFill="1" applyBorder="1"/>
    <x:xf numFmtId="209" fontId="5" fillId="23" borderId="2" xfId="0" applyNumberFormat="1" applyFont="1" applyFill="1" applyBorder="1"/>
    <x:xf numFmtId="201" fontId="5" fillId="23" borderId="4" xfId="0" applyNumberFormat="1" applyFont="1" applyFill="1" applyBorder="1"/>
    <x:xf numFmtId="205" fontId="6" fillId="24" borderId="0" xfId="0" applyNumberFormat="1" applyFont="1" applyFill="1" applyBorder="1"/>
    <x:xf numFmtId="203" fontId="6" fillId="24" borderId="5" xfId="0" applyNumberFormat="1" applyFont="1" applyFill="1" applyBorder="1"/>
    <x:xf numFmtId="204" fontId="5" fillId="23" borderId="2" xfId="0" applyNumberFormat="1" applyFont="1" applyFill="1" applyBorder="1"/>
    <x:xf numFmtId="203" fontId="5" fillId="23" borderId="3" xfId="0" applyNumberFormat="1" applyFont="1" applyFill="1" applyBorder="1"/>
    <x:xf numFmtId="202" fontId="5" fillId="23" borderId="3" xfId="0" applyNumberFormat="1" applyFont="1" applyFill="1" applyBorder="1"/>
    <x:xf numFmtId="202" fontId="5" fillId="23" borderId="4" xfId="0" applyNumberFormat="1" applyFont="1" applyFill="1" applyBorder="1"/>
    <x:xf numFmtId="205" fontId="6" fillId="25" borderId="0" xfId="0" applyNumberFormat="1" applyFont="1" applyFill="1" applyBorder="1"/>
    <x:xf numFmtId="214" fontId="0" fillId="0" borderId="0" xfId="0" applyNumberFormat="1" applyFont="1" applyFill="1" applyBorder="1"/>
    <x:xf numFmtId="205" fontId="6" fillId="0" borderId="0" xfId="0" applyNumberFormat="1" applyFont="1" applyFill="1" applyBorder="1"/>
    <x:xf numFmtId="214" fontId="6" fillId="0" borderId="0" xfId="0" applyNumberFormat="1" applyFont="1" applyFill="1" applyBorder="1"/>
    <x:xf numFmtId="204" fontId="6" fillId="0" borderId="0" xfId="0" applyNumberFormat="1" applyFont="1" applyFill="1" applyBorder="1"/>
    <x:xf numFmtId="215" fontId="0" fillId="0" borderId="0" xfId="0" applyNumberFormat="1" applyFont="1" applyFill="1" applyBorder="1"/>
    <x:xf numFmtId="205" fontId="0" fillId="25" borderId="0" xfId="0" applyNumberFormat="1" applyFont="1" applyFill="1" applyBorder="1"/>
    <x:xf numFmtId="0" fontId="8" fillId="20" borderId="0" xfId="0" applyNumberFormat="1" applyFont="1" applyFill="1" applyBorder="1" applyAlignment="1">
      <x:alignment vertical="center"/>
    </x:xf>
    <x:xf numFmtId="0" fontId="10" fillId="21" borderId="0" xfId="0" applyNumberFormat="1" applyFont="1" applyFill="1" applyBorder="1" applyAlignment="1">
      <x:alignment vertical="center" wrapText="1"/>
    </x:xf>
    <x:xf numFmtId="0" fontId="11" fillId="20" borderId="0" xfId="0" applyNumberFormat="1" applyFont="1" applyFill="1" applyBorder="1" applyAlignment="1">
      <x:alignment vertical="center"/>
    </x:xf>
    <x:xf numFmtId="0" fontId="12" fillId="22" borderId="1" xfId="0" applyNumberFormat="1" applyFont="1" applyFill="1" applyBorder="1" applyAlignment="1">
      <x:alignment vertical="center" wrapText="1"/>
    </x:xf>
    <x:xf numFmtId="209" fontId="13" fillId="23" borderId="2" xfId="0" applyNumberFormat="1" applyFont="1" applyFill="1" applyBorder="1"/>
    <x:xf numFmtId="205" fontId="15" fillId="0" borderId="0" xfId="0" applyNumberFormat="1" applyFont="1" applyFill="1" applyBorder="1"/>
    <x:xf numFmtId="201" fontId="13" fillId="23" borderId="4" xfId="0" applyNumberFormat="1" applyFont="1" applyFill="1" applyBorder="1"/>
    <x:xf numFmtId="205" fontId="15" fillId="24" borderId="0" xfId="0" applyNumberFormat="1" applyFont="1" applyFill="1" applyBorder="1"/>
    <x:xf numFmtId="214" fontId="15" fillId="0" borderId="0" xfId="0" applyNumberFormat="1" applyFont="1" applyFill="1" applyBorder="1"/>
    <x:xf numFmtId="203" fontId="15" fillId="24" borderId="5" xfId="0" applyNumberFormat="1" applyFont="1" applyFill="1" applyBorder="1"/>
    <x:xf numFmtId="204" fontId="13" fillId="23" borderId="2" xfId="0" applyNumberFormat="1" applyFont="1" applyFill="1" applyBorder="1"/>
    <x:xf numFmtId="203" fontId="13" fillId="23" borderId="3" xfId="0" applyNumberFormat="1" applyFont="1" applyFill="1" applyBorder="1"/>
    <x:xf numFmtId="204" fontId="15" fillId="0" borderId="0" xfId="0" applyNumberFormat="1" applyFont="1" applyFill="1" applyBorder="1"/>
    <x:xf numFmtId="202" fontId="13" fillId="23" borderId="3" xfId="0" applyNumberFormat="1" applyFont="1" applyFill="1" applyBorder="1"/>
    <x:xf numFmtId="202" fontId="13" fillId="23" borderId="4" xfId="0" applyNumberFormat="1" applyFont="1" applyFill="1" applyBorder="1"/>
    <x:xf numFmtId="205" fontId="15" fillId="25" borderId="0" xfId="0" applyNumberFormat="1" applyFont="1" applyFill="1" applyBorder="1"/>
    <x:xf numFmtId="215" fontId="9" fillId="0" borderId="0" xfId="0" applyNumberFormat="1" applyFont="1" applyFill="1" applyBorder="1"/>
    <x:xf numFmtId="209" fontId="17" fillId="5" borderId="9" xfId="0" applyNumberFormat="1" applyFont="1" applyFill="1" applyBorder="1"/>
    <x:xf numFmtId="209" fontId="17" fillId="5" borderId="12" xfId="0" applyNumberFormat="1" applyFont="1" applyFill="1" applyBorder="1"/>
    <x:xf numFmtId="209" fontId="17" fillId="5" borderId="14" xfId="0" applyNumberFormat="1" applyFont="1" applyFill="1" applyBorder="1"/>
    <x:xf numFmtId="208" fontId="17" fillId="5" borderId="10" xfId="0" applyNumberFormat="1" applyFont="1" applyFill="1" applyBorder="1"/>
    <x:xf numFmtId="208" fontId="17" fillId="5" borderId="7" xfId="0" applyNumberFormat="1" applyFont="1" applyFill="1" applyBorder="1"/>
    <x:xf numFmtId="208" fontId="17" fillId="5" borderId="15" xfId="0" applyNumberFormat="1" applyFont="1" applyFill="1" applyBorder="1"/>
    <x:xf numFmtId="204" fontId="16" fillId="0" borderId="6" xfId="0" applyNumberFormat="1" applyFont="1" applyFill="1" applyBorder="1"/>
    <x:xf numFmtId="204" fontId="16" fillId="0" borderId="7" xfId="0" applyNumberFormat="1" applyFont="1" applyFill="1" applyBorder="1"/>
    <x:xf numFmtId="204" fontId="16" fillId="0" borderId="8" xfId="0" applyNumberFormat="1" applyFont="1" applyFill="1" applyBorder="1"/>
    <x:xf numFmtId="205" fontId="16" fillId="25" borderId="6" xfId="0" applyNumberFormat="1" applyFont="1" applyFill="1" applyBorder="1"/>
    <x:xf numFmtId="205" fontId="16" fillId="25" borderId="7" xfId="0" applyNumberFormat="1" applyFont="1" applyFill="1" applyBorder="1"/>
    <x:xf numFmtId="205" fontId="16" fillId="25" borderId="8" xfId="0" applyNumberFormat="1" applyFont="1" applyFill="1" applyBorder="1"/>
    <x:xf numFmtId="205" fontId="34" fillId="25" borderId="6" xfId="0" applyNumberFormat="1" applyFont="1" applyFill="1" applyBorder="1"/>
    <x:xf numFmtId="205" fontId="34" fillId="25" borderId="7" xfId="0" applyNumberFormat="1" applyFont="1" applyFill="1" applyBorder="1"/>
    <x:xf numFmtId="205" fontId="34" fillId="25" borderId="8" xfId="0" applyNumberFormat="1" applyFont="1" applyFill="1" applyBorder="1"/>
    <x:xf numFmtId="205" fontId="16" fillId="24" borderId="6" xfId="0" applyNumberFormat="1" applyFont="1" applyFill="1" applyBorder="1"/>
    <x:xf numFmtId="205" fontId="16" fillId="24" borderId="7" xfId="0" applyNumberFormat="1" applyFont="1" applyFill="1" applyBorder="1"/>
    <x:xf numFmtId="205" fontId="16" fillId="24" borderId="8" xfId="0" applyNumberFormat="1" applyFont="1" applyFill="1" applyBorder="1"/>
    <x:xf numFmtId="205" fontId="35" fillId="24" borderId="6" xfId="0" applyNumberFormat="1" applyFont="1" applyFill="1" applyBorder="1"/>
    <x:xf numFmtId="205" fontId="35" fillId="24" borderId="7" xfId="0" applyNumberFormat="1" applyFont="1" applyFill="1" applyBorder="1"/>
    <x:xf numFmtId="205" fontId="35" fillId="24" borderId="8" xfId="0" applyNumberFormat="1" applyFont="1" applyFill="1" applyBorder="1"/>
    <x:xf numFmtId="0" fontId="0" fillId="24" borderId="20" xfId="0" applyNumberFormat="1" applyFont="1" applyFill="1" applyBorder="1"/>
    <x:xf numFmtId="0" fontId="0" fillId="24" borderId="21" xfId="0" applyNumberFormat="1" applyFont="1" applyFill="1" applyBorder="1"/>
    <x:xf numFmtId="0" fontId="0" fillId="24" borderId="22" xfId="0" applyNumberFormat="1" applyFont="1" applyFill="1" applyBorder="1"/>
    <x:xf numFmtId="0" fontId="0" fillId="24" borderId="23" xfId="0" applyNumberFormat="1" applyFont="1" applyFill="1" applyBorder="1"/>
    <x:xf numFmtId="0" fontId="0" fillId="24" borderId="24" xfId="0" applyNumberFormat="1" applyFont="1" applyFill="1" applyBorder="1"/>
    <x:xf numFmtId="0" fontId="0" fillId="24" borderId="25" xfId="0" applyNumberFormat="1" applyFont="1" applyFill="1" applyBorder="1"/>
    <x:xf numFmtId="0" fontId="0" fillId="24" borderId="20" xfId="0" applyNumberFormat="1" applyFont="1" applyFill="1" applyBorder="1" applyAlignment="1">
      <x:alignment vertical="center"/>
    </x:xf>
    <x:xf numFmtId="0" fontId="0" fillId="24" borderId="21" xfId="0" applyNumberFormat="1" applyFont="1" applyFill="1" applyBorder="1" applyAlignment="1">
      <x:alignment vertical="center"/>
    </x:xf>
    <x:xf numFmtId="0" fontId="0" fillId="24" borderId="22" xfId="0" applyNumberFormat="1" applyFont="1" applyFill="1" applyBorder="1" applyAlignment="1">
      <x:alignment vertical="center"/>
    </x:xf>
    <x:xf numFmtId="0" fontId="0" fillId="24" borderId="23" xfId="0" applyNumberFormat="1" applyFont="1" applyFill="1" applyBorder="1" applyAlignment="1">
      <x:alignment vertical="center"/>
    </x:xf>
    <x:xf numFmtId="0" fontId="0" fillId="24" borderId="24" xfId="0" applyNumberFormat="1" applyFont="1" applyFill="1" applyBorder="1" applyAlignment="1">
      <x:alignment vertical="center"/>
    </x:xf>
    <x:xf numFmtId="0" fontId="0" fillId="24" borderId="25" xfId="0" applyNumberFormat="1" applyFont="1" applyFill="1" applyBorder="1" applyAlignment="1">
      <x:alignment vertical="center"/>
    </x:xf>
    <x:xf numFmtId="0" fontId="18" fillId="24" borderId="20" xfId="0" applyNumberFormat="1" applyFont="1" applyFill="1" applyBorder="1" applyAlignment="1">
      <x:alignment vertical="center"/>
    </x:xf>
    <x:xf numFmtId="0" fontId="18" fillId="24" borderId="22" xfId="0" applyNumberFormat="1" applyFont="1" applyFill="1" applyBorder="1" applyAlignment="1">
      <x:alignment vertical="center"/>
    </x:xf>
    <x:xf numFmtId="0" fontId="18" fillId="24" borderId="24" xfId="0" applyNumberFormat="1" applyFont="1" applyFill="1" applyBorder="1" applyAlignment="1">
      <x:alignment vertical="center"/>
    </x:xf>
    <x:xf numFmtId="0" fontId="19" fillId="24" borderId="21" xfId="0" applyNumberFormat="1" applyFont="1" applyFill="1" applyBorder="1" applyAlignment="1">
      <x:alignment vertical="center"/>
    </x:xf>
    <x:xf numFmtId="0" fontId="19" fillId="24" borderId="23" xfId="0" applyNumberFormat="1" applyFont="1" applyFill="1" applyBorder="1" applyAlignment="1">
      <x:alignment vertical="center"/>
    </x:xf>
    <x:xf numFmtId="0" fontId="19" fillId="24" borderId="25" xfId="0" applyNumberFormat="1" applyFont="1" applyFill="1" applyBorder="1" applyAlignment="1">
      <x:alignment vertical="center"/>
    </x:xf>
    <x:xf numFmtId="0" fontId="19" fillId="25" borderId="23" xfId="0" applyNumberFormat="1" applyFont="1" applyFill="1" applyBorder="1" applyAlignment="1">
      <x:alignment vertical="center"/>
    </x:xf>
    <x:xf numFmtId="0" fontId="36" fillId="25" borderId="23" xfId="0" applyNumberFormat="1" applyFont="1" applyFill="1" applyBorder="1" applyAlignment="1">
      <x:alignment vertical="center"/>
    </x:xf>
    <x:xf numFmtId="206" fontId="36" fillId="25" borderId="23" xfId="0" applyNumberFormat="1" applyFont="1" applyFill="1" applyBorder="1" applyAlignment="1">
      <x:alignment vertical="center"/>
    </x:xf>
    <x:xf numFmtId="0" fontId="20" fillId="24" borderId="21" xfId="0" applyNumberFormat="1" applyFont="1" applyFill="1" applyBorder="1" applyAlignment="1">
      <x:alignment vertical="center"/>
    </x:xf>
    <x:xf numFmtId="0" fontId="20" fillId="24" borderId="23" xfId="0" applyNumberFormat="1" applyFont="1" applyFill="1" applyBorder="1" applyAlignment="1">
      <x:alignment vertical="center"/>
    </x:xf>
    <x:xf numFmtId="0" fontId="20" fillId="24" borderId="25" xfId="0" applyNumberFormat="1" applyFont="1" applyFill="1" applyBorder="1" applyAlignment="1">
      <x:alignment vertical="center"/>
    </x:xf>
    <x:xf numFmtId="203" fontId="19" fillId="24" borderId="21" xfId="0" applyNumberFormat="1" applyFont="1" applyFill="1" applyBorder="1" applyAlignment="1">
      <x:alignment vertical="center"/>
    </x:xf>
    <x:xf numFmtId="206" fontId="19" fillId="24" borderId="23" xfId="0" applyNumberFormat="1" applyFont="1" applyFill="1" applyBorder="1" applyAlignment="1">
      <x:alignment vertical="center"/>
    </x:xf>
    <x:xf numFmtId="206" fontId="19" fillId="24" borderId="25" xfId="0" applyNumberFormat="1" applyFont="1" applyFill="1" applyBorder="1" applyAlignment="1">
      <x:alignment vertical="center"/>
    </x:xf>
    <x:xf numFmtId="206" fontId="19" fillId="24" borderId="21" xfId="0" applyNumberFormat="1" applyFont="1" applyFill="1" applyBorder="1" applyAlignment="1">
      <x:alignment vertical="center"/>
    </x:xf>
    <x:xf numFmtId="205" fontId="20" fillId="24" borderId="21" xfId="0" applyNumberFormat="1" applyFont="1" applyFill="1" applyBorder="1" applyAlignment="1">
      <x:alignment vertical="center"/>
    </x:xf>
    <x:xf numFmtId="203" fontId="20" fillId="24" borderId="23" xfId="0" applyNumberFormat="1" applyFont="1" applyFill="1" applyBorder="1" applyAlignment="1">
      <x:alignment vertical="center"/>
    </x:xf>
    <x:xf numFmtId="205" fontId="20" fillId="24" borderId="23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21" fillId="26" borderId="0" xfId="0" applyNumberFormat="1" applyFont="1" applyFill="1" applyBorder="1"/>
    <x:xf numFmtId="0" fontId="21" fillId="26" xfId="0" applyNumberFormat="1" applyFont="1" applyFill="1" applyBorder="0"/>
    <x:xf numFmtId="0" fontId="21" fillId="26" borderId="6" xfId="0" applyNumberFormat="1" applyFont="1" applyFill="1" applyBorder="1"/>
    <x:xf numFmtId="0" fontId="21" fillId="26" xfId="0" applyNumberFormat="1" applyFont="1" applyFill="1" applyBorder="0" applyAlignment="1">
      <x:alignment vertical="center"/>
    </x:xf>
    <x:xf numFmtId="0" fontId="21" fillId="26" borderId="6" xfId="0" applyNumberFormat="1" applyFont="1" applyFill="1" applyBorder="1" applyAlignment="1">
      <x:alignment vertical="center"/>
    </x:xf>
    <x:xf numFmtId="0" fontId="22" fillId="24" borderId="20" xfId="0" applyNumberFormat="1" applyFont="1" applyFill="1" applyBorder="1" applyAlignment="1">
      <x:alignment vertical="center"/>
    </x:xf>
    <x:xf numFmtId="203" fontId="23" fillId="24" borderId="21" xfId="0" applyNumberFormat="1" applyFont="1" applyFill="1" applyBorder="1" applyAlignment="1">
      <x:alignment vertical="center"/>
    </x:xf>
    <x:xf numFmtId="206" fontId="23" fillId="24" borderId="21" xfId="0" applyNumberFormat="1" applyFont="1" applyFill="1" applyBorder="1" applyAlignment="1">
      <x:alignment vertical="center"/>
    </x:xf>
    <x:xf numFmtId="205" fontId="24" fillId="24" borderId="21" xfId="0" applyNumberFormat="1" applyFont="1" applyFill="1" applyBorder="1" applyAlignment="1">
      <x:alignment vertical="center"/>
    </x:xf>
    <x:xf numFmtId="0" fontId="22" fillId="24" borderId="22" xfId="0" applyNumberFormat="1" applyFont="1" applyFill="1" applyBorder="1" applyAlignment="1">
      <x:alignment vertical="center"/>
    </x:xf>
    <x:xf numFmtId="206" fontId="23" fillId="24" borderId="23" xfId="0" applyNumberFormat="1" applyFont="1" applyFill="1" applyBorder="1" applyAlignment="1">
      <x:alignment vertical="center"/>
    </x:xf>
    <x:xf numFmtId="203" fontId="24" fillId="24" borderId="23" xfId="0" applyNumberFormat="1" applyFont="1" applyFill="1" applyBorder="1" applyAlignment="1">
      <x:alignment vertical="center"/>
    </x:xf>
    <x:xf numFmtId="206" fontId="37" fillId="25" borderId="23" xfId="0" applyNumberFormat="1" applyFont="1" applyFill="1" applyBorder="1" applyAlignment="1">
      <x:alignment vertical="center"/>
    </x:xf>
    <x:xf numFmtId="205" fontId="24" fillId="24" borderId="23" xfId="0" applyNumberFormat="1" applyFont="1" applyFill="1" applyBorder="1" applyAlignment="1">
      <x:alignment vertical="center"/>
    </x:xf>
    <x:xf numFmtId="0" fontId="22" fillId="24" borderId="24" xfId="0" applyNumberFormat="1" applyFont="1" applyFill="1" applyBorder="1" applyAlignment="1">
      <x:alignment vertical="center"/>
    </x:xf>
    <x:xf numFmtId="206" fontId="23" fillId="24" borderId="25" xfId="0" applyNumberFormat="1" applyFont="1" applyFill="1" applyBorder="1" applyAlignment="1">
      <x:alignment vertical="center"/>
    </x:xf>
    <x:xf numFmtId="0" fontId="24" fillId="24" borderId="25" xfId="0" applyNumberFormat="1" applyFont="1" applyFill="1" applyBorder="1" applyAlignment="1">
      <x:alignment vertical="center"/>
    </x:xf>
    <x:xf numFmtId="0" fontId="25" fillId="26" xfId="0" applyNumberFormat="1" applyFont="1" applyFill="1" applyBorder="0" applyAlignment="1">
      <x:alignment vertical="center"/>
    </x:xf>
    <x:xf numFmtId="0" fontId="25" fillId="26" borderId="6" xfId="0" applyNumberFormat="1" applyFont="1" applyFill="1" applyBorder="1" applyAlignment="1">
      <x:alignment vertical="center"/>
    </x:xf>
    <x:xf numFmtId="0" fontId="26" fillId="20" borderId="0" xfId="0" applyNumberFormat="1" applyFont="1" applyFill="1" applyBorder="1"/>
    <x:xf numFmtId="0" fontId="27" fillId="20" borderId="0" xfId="0" applyNumberFormat="1" applyFont="1" applyFill="1" applyBorder="1"/>
    <x:xf numFmtId="0" fontId="12" fillId="27" borderId="1" xfId="0" applyNumberFormat="1" applyFont="1" applyFill="1" applyBorder="1" applyAlignment="1">
      <x:alignment vertical="center" wrapText="1"/>
    </x:xf>
    <x:xf numFmtId="213" fontId="0" fillId="0" borderId="0" xfId="0" applyNumberFormat="1" applyFont="1" applyFill="1" applyBorder="1"/>
    <x:xf numFmtId="0" fontId="0" fillId="28" borderId="0" xfId="0" applyNumberFormat="1" applyFont="1" applyFill="1" applyBorder="1"/>
    <x:xf numFmtId="0" fontId="3" fillId="28" borderId="0" xfId="0" applyNumberFormat="1" applyFont="1" applyFill="1" applyBorder="1"/>
    <x:xf numFmtId="0" fontId="3" fillId="28" borderId="0" xfId="0" applyNumberFormat="1" applyFont="1" applyFill="1" applyBorder="1" applyAlignment="1">
      <x:alignment vertical="center"/>
    </x:xf>
    <x:xf numFmtId="0" fontId="0" fillId="29" borderId="0" xfId="0" applyNumberFormat="1" applyFont="1" applyFill="1" applyBorder="1"/>
    <x:xf numFmtId="0" fontId="38" fillId="29" borderId="0" xfId="0" applyNumberFormat="1" applyFont="1" applyFill="1" applyBorder="1"/>
    <x:xf numFmtId="0" fontId="38" fillId="29" borderId="0" xfId="0" applyNumberFormat="1" applyFont="1" applyFill="1" applyBorder="1" applyAlignment="1">
      <x:alignment wrapText="1"/>
    </x:xf>
    <x:xf numFmtId="0" fontId="38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/>
    <x:xf numFmtId="0" fontId="39" fillId="30" borderId="0" xfId="0" applyNumberFormat="1" applyFont="1" applyFill="1" applyBorder="1"/>
    <x:xf numFmtId="0" fontId="39" fillId="3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0" fillId="31" borderId="0" xfId="0" applyNumberFormat="1" applyFont="1" applyFill="1" applyBorder="1"/>
    <x:xf numFmtId="0" fontId="5" fillId="31" borderId="0" xfId="0" applyNumberFormat="1" applyFont="1" applyFill="1" applyBorder="1"/>
    <x:xf numFmtId="0" fontId="5" fillId="31" borderId="2" xfId="0" applyNumberFormat="1" applyFont="1" applyFill="1" applyBorder="1"/>
    <x:xf numFmtId="0" fontId="5" fillId="31" borderId="4" xfId="0" applyNumberFormat="1" applyFont="1" applyFill="1" applyBorder="1"/>
    <x:xf numFmtId="0" fontId="5" fillId="31" borderId="5" xfId="0" applyNumberFormat="1" applyFont="1" applyFill="1" applyBorder="1"/>
    <x:xf numFmtId="200" fontId="5" fillId="31" borderId="2" xfId="0" applyNumberFormat="1" applyFont="1" applyFill="1" applyBorder="1"/>
    <x:xf numFmtId="202" fontId="5" fillId="31" borderId="4" xfId="0" applyNumberFormat="1" applyFont="1" applyFill="1" applyBorder="1"/>
    <x:xf numFmtId="202" fontId="5" fillId="31" borderId="5" xfId="0" applyNumberFormat="1" applyFont="1" applyFill="1" applyBorder="1"/>
    <x:xf numFmtId="0" fontId="0" fillId="32" borderId="0" xfId="0" applyNumberFormat="1" applyFont="1" applyFill="1" applyBorder="1"/>
    <x:xf numFmtId="0" fontId="40" fillId="32" borderId="0" xfId="0" applyNumberFormat="1" applyFont="1" applyFill="1" applyBorder="1"/>
    <x:xf numFmtId="202" fontId="40" fillId="32" borderId="0" xfId="0" applyNumberFormat="1" applyFont="1" applyFill="1" applyBorder="1"/>
    <x:xf numFmtId="205" fontId="40" fillId="32" borderId="0" xfId="0" applyNumberFormat="1" applyFont="1" applyFill="1" applyBorder="1"/>
    <x:xf numFmtId="216" fontId="40" fillId="32" borderId="0" xfId="0" applyNumberFormat="1" applyFont="1" applyFill="1" applyBorder="1"/>
    <x:xf numFmtId="0" fontId="0" fillId="33" borderId="0" xfId="0" applyNumberFormat="1" applyFont="1" applyFill="1" applyBorder="1"/>
    <x:xf numFmtId="0" fontId="4" fillId="33" borderId="0" xfId="0" applyNumberFormat="1" applyFont="1" applyFill="1" applyBorder="1"/>
    <x:xf numFmtId="0" fontId="4" fillId="33" borderId="1" xfId="0" applyNumberFormat="1" applyFont="1" applyFill="1" applyBorder="1"/>
    <x:xf numFmtId="0" fontId="4" fillId="33" borderId="1" xfId="0" applyNumberFormat="1" applyFont="1" applyFill="1" applyBorder="1" applyAlignment="1">
      <x:alignment wrapText="1"/>
    </x:xf>
    <x:xf numFmtId="0" fontId="4" fillId="33" borderId="1" xfId="0" applyNumberFormat="1" applyFont="1" applyFill="1" applyBorder="1" applyAlignment="1">
      <x:alignment vertical="center" wrapText="1"/>
    </x:xf>
    <x:xf numFmtId="0" fontId="41" fillId="0" borderId="0" xfId="0" applyNumberFormat="1" applyFont="1" applyFill="1" applyBorder="1"/>
    <x:xf numFmtId="200" fontId="5" fillId="31" borderId="0" xfId="0" applyNumberFormat="1" applyFont="1" applyFill="1" applyBorder="1"/>
    <x:xf numFmtId="202" fontId="5" fillId="31" borderId="0" xfId="0" applyNumberFormat="1" applyFont="1" applyFill="1" applyBorder="1"/>
    <x:xf numFmtId="216" fontId="41" fillId="0" borderId="0" xfId="0" applyNumberFormat="1" applyFont="1" applyFill="1" applyBorder="1"/>
    <x:xf numFmtId="205" fontId="5" fillId="31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 applyAlignment="1">
      <x:alignment wrapText="1"/>
    </x:xf>
    <x:xf numFmtId="0" fontId="6" fillId="32" borderId="0" xfId="0" applyNumberFormat="1" applyFont="1" applyFill="1" applyBorder="1" applyAlignment="1">
      <x:alignment wrapText="1"/>
    </x:xf>
    <x:xf numFmtId="205" fontId="6" fillId="32" borderId="0" xfId="0" applyNumberFormat="1" applyFont="1" applyFill="1" applyBorder="1" applyAlignment="1">
      <x:alignment wrapText="1"/>
    </x:xf>
    <x:xf numFmtId="202" fontId="6" fillId="32" borderId="0" xfId="0" applyNumberFormat="1" applyFont="1" applyFill="1" applyBorder="1" applyAlignment="1">
      <x:alignment wrapText="1"/>
    </x:xf>
    <x:xf numFmtId="216" fontId="41" fillId="34" borderId="0" xfId="0" applyNumberFormat="1" applyFont="1" applyFill="1" applyBorder="1"/>
    <x:xf numFmtId="209" fontId="5" fillId="5" borderId="0" xfId="0" applyNumberFormat="1" applyFont="1" applyFill="1" applyBorder="1"/>
    <x:xf numFmtId="202" fontId="40" fillId="6" borderId="0" xfId="0" applyNumberFormat="1" applyFont="1" applyFill="1" applyBorder="1"/>
    <x:xf numFmtId="205" fontId="40" fillId="6" borderId="0" xfId="0" applyNumberFormat="1" applyFont="1" applyFill="1" applyBorder="1"/>
    <x:xf numFmtId="216" fontId="40" fillId="6" borderId="0" xfId="0" applyNumberFormat="1" applyFont="1" applyFill="1" applyBorder="1"/>
    <x:xf numFmtId="0" fontId="0" fillId="35" borderId="0" xfId="0" applyNumberFormat="1" applyFont="1" applyFill="1" applyBorder="1"/>
    <x:xf numFmtId="0" fontId="3" fillId="35" borderId="0" xfId="0" applyNumberFormat="1" applyFont="1" applyFill="1" applyBorder="1"/>
    <x:xf numFmtId="0" fontId="3" fillId="35" borderId="0" xfId="0" applyNumberFormat="1" applyFont="1" applyFill="1" applyBorder="1" applyAlignment="1">
      <x:alignment vertical="center"/>
    </x:xf>
    <x:xf numFmtId="0" fontId="0" fillId="36" borderId="0" xfId="0" applyNumberFormat="1" applyFont="1" applyFill="1" applyBorder="1"/>
    <x:xf numFmtId="0" fontId="38" fillId="36" borderId="0" xfId="0" applyNumberFormat="1" applyFont="1" applyFill="1" applyBorder="1"/>
    <x:xf numFmtId="0" fontId="38" fillId="36" borderId="0" xfId="0" applyNumberFormat="1" applyFont="1" applyFill="1" applyBorder="1" applyAlignment="1">
      <x:alignment wrapText="1"/>
    </x:xf>
    <x:xf numFmtId="0" fontId="38" fillId="36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/>
    <x:xf numFmtId="0" fontId="39" fillId="37" borderId="0" xfId="0" applyNumberFormat="1" applyFont="1" applyFill="1" applyBorder="1"/>
    <x:xf numFmtId="0" fontId="39" fillId="37" borderId="0" xfId="0" applyNumberFormat="1" applyFont="1" applyFill="1" applyBorder="1" applyAlignment="1">
      <x:alignment wrapText="1"/>
    </x:xf>
    <x:xf numFmtId="0" fontId="39" fillId="37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/>
    <x:xf numFmtId="0" fontId="6" fillId="38" borderId="0" xfId="0" applyNumberFormat="1" applyFont="1" applyFill="1" applyBorder="1"/>
    <x:xf numFmtId="0" fontId="0" fillId="39" borderId="0" xfId="0" applyNumberFormat="1" applyFont="1" applyFill="1" applyBorder="1"/>
    <x:xf numFmtId="0" fontId="42" fillId="39" borderId="0" xfId="0" applyNumberFormat="1" applyFont="1" applyFill="1" applyBorder="1"/>
    <x:xf numFmtId="0" fontId="42" fillId="39" borderId="5" xfId="0" applyNumberFormat="1" applyFont="1" applyFill="1" applyBorder="1"/>
    <x:xf numFmtId="205" fontId="6" fillId="38" borderId="0" xfId="0" applyNumberFormat="1" applyFont="1" applyFill="1" applyBorder="1"/>
    <x:xf numFmtId="217" fontId="6" fillId="38" borderId="0" xfId="0" applyNumberFormat="1" applyFont="1" applyFill="1" applyBorder="1"/>
    <x:xf numFmtId="202" fontId="6" fillId="38" borderId="0" xfId="0" applyNumberFormat="1" applyFont="1" applyFill="1" applyBorder="1"/>
    <x:xf numFmtId="205" fontId="42" fillId="39" borderId="5" xfId="0" applyNumberFormat="1" applyFont="1" applyFill="1" applyBorder="1"/>
    <x:xf numFmtId="0" fontId="0" fillId="40" borderId="0" xfId="0" applyNumberFormat="1" applyFont="1" applyFill="1" applyBorder="1"/>
    <x:xf numFmtId="0" fontId="4" fillId="40" borderId="0" xfId="0" applyNumberFormat="1" applyFont="1" applyFill="1" applyBorder="1"/>
    <x:xf numFmtId="0" fontId="4" fillId="40" borderId="1" xfId="0" applyNumberFormat="1" applyFont="1" applyFill="1" applyBorder="1"/>
    <x:xf numFmtId="0" fontId="4" fillId="40" borderId="1" xfId="0" applyNumberFormat="1" applyFont="1" applyFill="1" applyBorder="1" applyAlignment="1">
      <x:alignment wrapText="1"/>
    </x:xf>
    <x:xf numFmtId="0" fontId="4" fillId="4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2" fontId="0" fillId="39" borderId="0" xfId="0" applyNumberFormat="1" applyFont="1" applyFill="1" applyBorder="1" applyAlignment="1">
      <x:alignment wrapText="1"/>
    </x:xf>
    <x:xf numFmtId="205" fontId="0" fillId="39" borderId="0" xfId="0" applyNumberFormat="1" applyFont="1" applyFill="1" applyBorder="1" applyAlignment="1">
      <x:alignment wrapText="1"/>
    </x:xf>
    <x:xf numFmtId="202" fontId="5" fillId="39" borderId="0" xfId="0" applyNumberFormat="1" applyFont="1" applyFill="1" applyBorder="1" applyAlignment="1">
      <x:alignment wrapText="1"/>
    </x:xf>
    <x:xf numFmtId="205" fontId="5" fillId="39" borderId="0" xfId="0" applyNumberFormat="1" applyFont="1" applyFill="1" applyBorder="1" applyAlignment="1">
      <x:alignment wrapText="1"/>
    </x:xf>
    <x:xf numFmtId="0" fontId="0" fillId="39" borderId="0" xfId="0" applyNumberFormat="1" applyFont="1" applyFill="1" applyBorder="1" applyAlignment="1">
      <x:alignment wrapText="1"/>
    </x:xf>
    <x:xf numFmtId="0" fontId="5" fillId="39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 applyAlignment="1">
      <x:alignment wrapText="1"/>
    </x:xf>
    <x:xf numFmtId="0" fontId="6" fillId="38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 applyAlignment="1">
      <x:alignment wrapText="1"/>
    </x:xf>
    <x:xf numFmtId="0" fontId="43" fillId="41" borderId="0" xfId="0" applyNumberFormat="1" applyFont="1" applyFill="1" applyBorder="1" applyAlignment="1">
      <x:alignment wrapText="1"/>
    </x:xf>
    <x:xf numFmtId="205" fontId="6" fillId="6" borderId="0" xfId="0" applyNumberFormat="1" applyFont="1" applyFill="1" applyBorder="1" applyAlignment="1">
      <x:alignment wrapText="1"/>
    </x:xf>
    <x:xf numFmtId="202" fontId="6" fillId="6" borderId="0" xfId="0" applyNumberFormat="1" applyFont="1" applyFill="1" applyBorder="1" applyAlignment="1">
      <x:alignment wrapText="1"/>
    </x:xf>
    <x:xf numFmtId="205" fontId="4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42" borderId="0" xfId="0" applyNumberFormat="1" applyFont="1" applyFill="1" applyBorder="1"/>
    <x:xf numFmtId="0" fontId="3" fillId="42" borderId="0" xfId="0" applyNumberFormat="1" applyFont="1" applyFill="1" applyBorder="1"/>
    <x:xf numFmtId="0" fontId="3" fillId="42" borderId="0" xfId="0" applyNumberFormat="1" applyFont="1" applyFill="1" applyBorder="1" applyAlignment="1">
      <x:alignment vertical="center"/>
    </x:xf>
    <x:xf numFmtId="0" fontId="0" fillId="43" borderId="0" xfId="0" applyNumberFormat="1" applyFont="1" applyFill="1" applyBorder="1"/>
    <x:xf numFmtId="0" fontId="38" fillId="43" borderId="0" xfId="0" applyNumberFormat="1" applyFont="1" applyFill="1" applyBorder="1"/>
    <x:xf numFmtId="0" fontId="38" fillId="43" borderId="0" xfId="0" applyNumberFormat="1" applyFont="1" applyFill="1" applyBorder="1" applyAlignment="1">
      <x:alignment wrapText="1"/>
    </x:xf>
    <x:xf numFmtId="0" fontId="38" fillId="43" borderId="0" xfId="0" applyNumberFormat="1" applyFont="1" applyFill="1" applyBorder="1" applyAlignment="1">
      <x:alignment vertical="center" wrapText="1"/>
    </x:xf>
    <x:xf numFmtId="0" fontId="0" fillId="44" borderId="0" xfId="0" applyNumberFormat="1" applyFont="1" applyFill="1" applyBorder="1"/>
    <x:xf numFmtId="0" fontId="40" fillId="44" borderId="0" xfId="0" applyNumberFormat="1" applyFont="1" applyFill="1" applyBorder="1"/>
    <x:xf numFmtId="217" fontId="40" fillId="44" borderId="0" xfId="0" applyNumberFormat="1" applyFont="1" applyFill="1" applyBorder="1"/>
    <x:xf numFmtId="218" fontId="40" fillId="44" borderId="0" xfId="0" applyNumberFormat="1" applyFont="1" applyFill="1" applyBorder="1"/>
    <x:xf numFmtId="205" fontId="40" fillId="44" borderId="0" xfId="0" applyNumberFormat="1" applyFont="1" applyFill="1" applyBorder="1"/>
    <x:xf numFmtId="216" fontId="40" fillId="44" borderId="0" xfId="0" applyNumberFormat="1" applyFont="1" applyFill="1" applyBorder="1"/>
    <x:xf numFmtId="0" fontId="0" fillId="45" borderId="0" xfId="0" applyNumberFormat="1" applyFont="1" applyFill="1" applyBorder="1"/>
    <x:xf numFmtId="0" fontId="4" fillId="45" borderId="0" xfId="0" applyNumberFormat="1" applyFont="1" applyFill="1" applyBorder="1"/>
    <x:xf numFmtId="0" fontId="4" fillId="45" borderId="1" xfId="0" applyNumberFormat="1" applyFont="1" applyFill="1" applyBorder="1"/>
    <x:xf numFmtId="0" fontId="4" fillId="45" borderId="1" xfId="0" applyNumberFormat="1" applyFont="1" applyFill="1" applyBorder="1" applyAlignment="1">
      <x:alignment wrapText="1"/>
    </x:xf>
    <x:xf numFmtId="0" fontId="4" fillId="45" borderId="1" xfId="0" applyNumberFormat="1" applyFont="1" applyFill="1" applyBorder="1" applyAlignment="1">
      <x:alignment vertical="center" wrapText="1"/>
    </x:xf>
    <x:xf numFmtId="218" fontId="0" fillId="0" borderId="0" xfId="0" applyNumberFormat="1" applyFont="1" applyFill="1" applyBorder="1"/>
    <x:xf numFmtId="216" fontId="0" fillId="0" borderId="0" xfId="0" applyNumberFormat="1" applyFont="1" applyFill="1" applyBorder="1"/>
    <x:xf numFmtId="0" fontId="0" fillId="46" borderId="0" xfId="0" applyNumberFormat="1" applyFont="1" applyFill="1" applyBorder="1"/>
    <x:xf numFmtId="218" fontId="0" fillId="46" borderId="0" xfId="0" applyNumberFormat="1" applyFont="1" applyFill="1" applyBorder="1"/>
    <x:xf numFmtId="205" fontId="0" fillId="46" borderId="0" xfId="0" applyNumberFormat="1" applyFont="1" applyFill="1" applyBorder="1"/>
    <x:xf numFmtId="0" fontId="5" fillId="46" borderId="0" xfId="0" applyNumberFormat="1" applyFont="1" applyFill="1" applyBorder="1"/>
    <x:xf numFmtId="218" fontId="5" fillId="46" borderId="0" xfId="0" applyNumberFormat="1" applyFont="1" applyFill="1" applyBorder="1"/>
    <x:xf numFmtId="205" fontId="5" fillId="46" borderId="0" xfId="0" applyNumberFormat="1" applyFont="1" applyFill="1" applyBorder="1"/>
    <x:xf numFmtId="216" fontId="0" fillId="47" borderId="0" xfId="0" applyNumberFormat="1" applyFont="1" applyFill="1" applyBorder="1"/>
    <x:xf numFmtId="217" fontId="6" fillId="6" borderId="0" xfId="0" applyNumberFormat="1" applyFont="1" applyFill="1" applyBorder="1"/>
    <x:xf numFmtId="218" fontId="6" fillId="6" borderId="0" xfId="0" applyNumberFormat="1" applyFont="1" applyFill="1" applyBorder="1"/>
    <x:xf numFmtId="217" fontId="0" fillId="0" borderId="0" xfId="0" applyNumberFormat="1" applyFont="1" applyFill="1" applyBorder="1"/>
    <x:xf numFmtId="0" fontId="43" fillId="44" borderId="0" xfId="0" applyNumberFormat="1" applyFont="1" applyFill="1" applyBorder="1" applyAlignment="1">
      <x:alignment wrapText="1"/>
    </x:xf>
    <x:xf numFmtId="0" fontId="6" fillId="44" borderId="0" xfId="0" applyNumberFormat="1" applyFont="1" applyFill="1" applyBorder="1" applyAlignment="1">
      <x:alignment wrapText="1"/>
    </x:xf>
    <x:xf numFmtId="0" fontId="5" fillId="48" borderId="0" xfId="0" applyNumberFormat="1" applyFont="1" applyFill="1" applyBorder="1" applyAlignment="1">
      <x:alignment wrapText="1"/>
    </x:xf>
    <x:xf numFmtId="0" fontId="43" fillId="48" borderId="0" xfId="0" applyNumberFormat="1" applyFont="1" applyFill="1" applyBorder="1" applyAlignment="1">
      <x:alignment wrapText="1"/>
    </x:xf>
    <x:xf numFmtId="218" fontId="0" fillId="0" borderId="0" xfId="0" applyNumberFormat="1" applyFont="1" applyFill="1" applyBorder="1" applyAlignment="1">
      <x:alignment wrapText="1"/>
    </x:xf>
    <x:xf numFmtId="218" fontId="5" fillId="5" borderId="0" xfId="0" applyNumberFormat="1" applyFont="1" applyFill="1" applyBorder="1" applyAlignment="1">
      <x:alignment wrapText="1"/>
    </x:xf>
    <x:xf numFmtId="205" fontId="5" fillId="5" borderId="0" xfId="0" applyNumberFormat="1" applyFont="1" applyFill="1" applyBorder="1" applyAlignment="1">
      <x:alignment wrapText="1"/>
    </x:xf>
    <x:xf numFmtId="212" fontId="0" fillId="0" borderId="0" xfId="0" applyNumberFormat="1" applyFont="1" applyFill="1" applyBorder="1"/>
    <x:xf numFmtId="212" fontId="5" fillId="5" borderId="0" xfId="0" applyNumberFormat="1" applyFont="1" applyFill="1" applyBorder="1"/>
    <x:xf numFmtId="201" fontId="0" fillId="30" borderId="0" xfId="0" applyNumberFormat="1" applyFont="1" applyFill="1" applyBorder="1"/>
    <x:xf numFmtId="212" fontId="40" fillId="6" borderId="0" xfId="0" applyNumberFormat="1" applyFont="1" applyFill="1" applyBorder="1"/>
    <x:xf numFmtId="219" fontId="40" fillId="6" borderId="0" xfId="0" applyNumberFormat="1" applyFont="1" applyFill="1" applyBorder="1"/>
    <x:xf numFmtId="212" fontId="6" fillId="6" borderId="0" xfId="0" applyNumberFormat="1" applyFont="1" applyFill="1" applyBorder="1"/>
    <x:xf numFmtId="212" fontId="0" fillId="0" borderId="0" xfId="0" applyNumberFormat="1" applyFont="1" applyFill="1" applyBorder="1" applyAlignment="1">
      <x:alignment wrapText="1"/>
    </x:xf>
    <x:xf numFmtId="212" fontId="5" fillId="5" borderId="0" xfId="0" applyNumberFormat="1" applyFont="1" applyFill="1" applyBorder="1" applyAlignment="1">
      <x:alignment wrapText="1"/>
    </x:xf>
    <x:xf numFmtId="205" fontId="42" fillId="5" borderId="5" xfId="0" applyNumberFormat="1" applyFont="1" applyFill="1" applyBorder="1"/>
    <x:xf numFmtId="205" fontId="6" fillId="49" borderId="0" xfId="0" applyNumberFormat="1" applyFont="1" applyFill="1" applyBorder="1"/>
    <x:xf numFmtId="205" fontId="44" fillId="49" borderId="0" xfId="0" applyNumberFormat="1" applyFont="1" applyFill="1" applyBorder="1"/>
    <x:xf numFmtId="0" fontId="0" fillId="50" borderId="0" xfId="0" applyNumberFormat="1" applyFont="1" applyFill="1" applyBorder="1"/>
    <x:xf numFmtId="0" fontId="3" fillId="50" borderId="0" xfId="0" applyNumberFormat="1" applyFont="1" applyFill="1" applyBorder="1"/>
    <x:xf numFmtId="0" fontId="3" fillId="50" borderId="0" xfId="0" applyNumberFormat="1" applyFont="1" applyFill="1" applyBorder="1" applyAlignment="1">
      <x:alignment vertical="center"/>
    </x:xf>
    <x:xf numFmtId="0" fontId="0" fillId="51" borderId="0" xfId="0" applyNumberFormat="1" applyFont="1" applyFill="1" applyBorder="1"/>
    <x:xf numFmtId="0" fontId="38" fillId="51" borderId="0" xfId="0" applyNumberFormat="1" applyFont="1" applyFill="1" applyBorder="1"/>
    <x:xf numFmtId="0" fontId="38" fillId="51" borderId="0" xfId="0" applyNumberFormat="1" applyFont="1" applyFill="1" applyBorder="1" applyAlignment="1">
      <x:alignment wrapText="1"/>
    </x:xf>
    <x:xf numFmtId="0" fontId="38" fillId="51" borderId="0" xfId="0" applyNumberFormat="1" applyFont="1" applyFill="1" applyBorder="1" applyAlignment="1">
      <x:alignment vertical="center" wrapText="1"/>
    </x:xf>
    <x:xf numFmtId="205" fontId="0" fillId="52" borderId="0" xfId="0" applyNumberFormat="1" applyFont="1" applyFill="1" applyBorder="1"/>
    <x:xf numFmtId="205" fontId="45" fillId="52" borderId="0" xfId="0" applyNumberFormat="1" applyFont="1" applyFill="1" applyBorder="1"/>
    <x:xf numFmtId="205" fontId="0" fillId="53" borderId="0" xfId="0" applyNumberFormat="1" applyFont="1" applyFill="1" applyBorder="1"/>
    <x:xf numFmtId="205" fontId="44" fillId="53" borderId="0" xfId="0" applyNumberFormat="1" applyFont="1" applyFill="1" applyBorder="1"/>
    <x:xf numFmtId="205" fontId="0" fillId="54" borderId="0" xfId="0" applyNumberFormat="1" applyFont="1" applyFill="1" applyBorder="1"/>
    <x:xf numFmtId="205" fontId="6" fillId="54" borderId="0" xfId="0" applyNumberFormat="1" applyFont="1" applyFill="1" applyBorder="1"/>
    <x:xf numFmtId="205" fontId="0" fillId="55" borderId="0" xfId="0" applyNumberFormat="1" applyFont="1" applyFill="1" applyBorder="1"/>
    <x:xf numFmtId="205" fontId="42" fillId="55" borderId="0" xfId="0" applyNumberFormat="1" applyFont="1" applyFill="1" applyBorder="1"/>
    <x:xf numFmtId="205" fontId="42" fillId="55" borderId="5" xfId="0" applyNumberFormat="1" applyFont="1" applyFill="1" applyBorder="1"/>
    <x:xf numFmtId="204" fontId="0" fillId="54" borderId="0" xfId="0" applyNumberFormat="1" applyFont="1" applyFill="1" applyBorder="1"/>
    <x:xf numFmtId="204" fontId="6" fillId="54" borderId="0" xfId="0" applyNumberFormat="1" applyFont="1" applyFill="1" applyBorder="1"/>
    <x:xf numFmtId="0" fontId="0" fillId="56" borderId="0" xfId="0" applyNumberFormat="1" applyFont="1" applyFill="1" applyBorder="1"/>
    <x:xf numFmtId="0" fontId="46" fillId="56" borderId="0" xfId="0" applyNumberFormat="1" applyFont="1" applyFill="1" applyBorder="1"/>
    <x:xf numFmtId="0" fontId="46" fillId="56" borderId="0" xfId="0" applyNumberFormat="1" applyFont="1" applyFill="1" applyBorder="1" applyAlignment="1">
      <x:alignment wrapText="1"/>
    </x:xf>
    <x:xf numFmtId="0" fontId="46" fillId="56" borderId="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3" fillId="57" borderId="0" xfId="0" applyNumberFormat="1" applyFont="1" applyFill="1" applyBorder="1"/>
    <x:xf numFmtId="0" fontId="3" fillId="57" borderId="0" xfId="0" applyNumberFormat="1" applyFont="1" applyFill="1" applyBorder="1" applyAlignment="1">
      <x:alignment vertical="center"/>
    </x:xf>
    <x:xf numFmtId="0" fontId="0" fillId="58" borderId="0" xfId="0" applyNumberFormat="1" applyFont="1" applyFill="1" applyBorder="1"/>
    <x:xf numFmtId="0" fontId="38" fillId="58" borderId="0" xfId="0" applyNumberFormat="1" applyFont="1" applyFill="1" applyBorder="1"/>
    <x:xf numFmtId="0" fontId="38" fillId="58" borderId="0" xfId="0" applyNumberFormat="1" applyFont="1" applyFill="1" applyBorder="1" applyAlignment="1">
      <x:alignment wrapText="1"/>
    </x:xf>
    <x:xf numFmtId="0" fontId="38" fillId="58" borderId="0" xfId="0" applyNumberFormat="1" applyFont="1" applyFill="1" applyBorder="1" applyAlignment="1">
      <x:alignment vertical="center" wrapText="1"/>
    </x:xf>
    <x:xf numFmtId="220" fontId="0" fillId="0" borderId="0" xfId="0" applyNumberFormat="1" applyFont="1" applyFill="1" applyBorder="1"/>
    <x:xf numFmtId="220" fontId="0" fillId="59" borderId="0" xfId="0" applyNumberFormat="1" applyFont="1" applyFill="1" applyBorder="1"/>
    <x:xf numFmtId="220" fontId="45" fillId="59" borderId="0" xfId="0" applyNumberFormat="1" applyFont="1" applyFill="1" applyBorder="1"/>
    <x:xf numFmtId="220" fontId="0" fillId="60" borderId="0" xfId="0" applyNumberFormat="1" applyFont="1" applyFill="1" applyBorder="1"/>
    <x:xf numFmtId="220" fontId="44" fillId="60" borderId="0" xfId="0" applyNumberFormat="1" applyFont="1" applyFill="1" applyBorder="1"/>
    <x:xf numFmtId="220" fontId="0" fillId="61" borderId="0" xfId="0" applyNumberFormat="1" applyFont="1" applyFill="1" applyBorder="1"/>
    <x:xf numFmtId="220" fontId="6" fillId="61" borderId="0" xfId="0" applyNumberFormat="1" applyFont="1" applyFill="1" applyBorder="1"/>
    <x:xf numFmtId="220" fontId="0" fillId="62" borderId="0" xfId="0" applyNumberFormat="1" applyFont="1" applyFill="1" applyBorder="1"/>
    <x:xf numFmtId="220" fontId="42" fillId="62" borderId="0" xfId="0" applyNumberFormat="1" applyFont="1" applyFill="1" applyBorder="1"/>
    <x:xf numFmtId="220" fontId="42" fillId="62" borderId="5" xfId="0" applyNumberFormat="1" applyFont="1" applyFill="1" applyBorder="1"/>
    <x:xf numFmtId="204" fontId="0" fillId="61" borderId="0" xfId="0" applyNumberFormat="1" applyFont="1" applyFill="1" applyBorder="1"/>
    <x:xf numFmtId="204" fontId="6" fillId="61" borderId="0" xfId="0" applyNumberFormat="1" applyFont="1" applyFill="1" applyBorder="1"/>
    <x:xf numFmtId="0" fontId="0" fillId="63" borderId="0" xfId="0" applyNumberFormat="1" applyFont="1" applyFill="1" applyBorder="1"/>
    <x:xf numFmtId="0" fontId="46" fillId="63" borderId="0" xfId="0" applyNumberFormat="1" applyFont="1" applyFill="1" applyBorder="1"/>
    <x:xf numFmtId="0" fontId="46" fillId="63" borderId="0" xfId="0" applyNumberFormat="1" applyFont="1" applyFill="1" applyBorder="1" applyAlignment="1">
      <x:alignment wrapText="1"/>
    </x:xf>
    <x:xf numFmtId="0" fontId="46" fillId="63" borderId="0" xfId="0" applyNumberFormat="1" applyFont="1" applyFill="1" applyBorder="1" applyAlignment="1">
      <x:alignment vertical="center" wrapText="1"/>
    </x:xf>
    <x:xf numFmtId="0" fontId="0" fillId="64" borderId="0" xfId="0" applyNumberFormat="1" applyFont="1" applyFill="1" applyBorder="1"/>
    <x:xf numFmtId="0" fontId="45" fillId="64" borderId="0" xfId="0" applyNumberFormat="1" applyFont="1" applyFill="1" applyBorder="1"/>
    <x:xf numFmtId="0" fontId="45" fillId="64" borderId="0" xfId="0" applyNumberFormat="1" applyFont="1" applyFill="1" applyBorder="1" applyAlignment="1">
      <x:alignment wrapText="1"/>
    </x:xf>
    <x:xf numFmtId="220" fontId="0" fillId="65" borderId="0" xfId="0" applyNumberFormat="1" applyFont="1" applyFill="1" applyBorder="1"/>
    <x:xf numFmtId="220" fontId="6" fillId="65" borderId="0" xfId="0" applyNumberFormat="1" applyFont="1" applyFill="1" applyBorder="1"/>
    <x:xf numFmtId="220" fontId="0" fillId="66" borderId="0" xfId="0" applyNumberFormat="1" applyFont="1" applyFill="1" applyBorder="1"/>
    <x:xf numFmtId="220" fontId="42" fillId="66" borderId="0" xfId="0" applyNumberFormat="1" applyFont="1" applyFill="1" applyBorder="1"/>
    <x:xf numFmtId="220" fontId="42" fillId="66" borderId="5" xfId="0" applyNumberFormat="1" applyFont="1" applyFill="1" applyBorder="1"/>
    <x:xf numFmtId="221" fontId="0" fillId="0" borderId="0" xfId="0" applyNumberFormat="1" applyFont="1" applyFill="1" applyBorder="1"/>
    <x:xf numFmtId="221" fontId="0" fillId="67" borderId="0" xfId="0" applyNumberFormat="1" applyFont="1" applyFill="1" applyBorder="1"/>
    <x:xf numFmtId="0" fontId="0" fillId="67" borderId="0" xfId="0" applyNumberFormat="1" applyFont="1" applyFill="1" applyBorder="1"/>
    <x:xf numFmtId="221" fontId="46" fillId="67" borderId="0" xfId="0" applyNumberFormat="1" applyFont="1" applyFill="1" applyBorder="1"/>
    <x:xf numFmtId="0" fontId="46" fillId="67" borderId="0" xfId="0" applyNumberFormat="1" applyFont="1" applyFill="1" applyBorder="1"/>
    <x:xf numFmtId="209" fontId="46" fillId="67" borderId="0" xfId="0" applyNumberFormat="1" applyFont="1" applyFill="1" applyBorder="1"/>
    <x:xf numFmtId="220" fontId="42" fillId="5" borderId="5" xfId="0" applyNumberFormat="1" applyFont="1" applyFill="1" applyBorder="1"/>
    <x:xf numFmtId="220" fontId="42" fillId="64" borderId="5" xfId="0" applyNumberFormat="1" applyFont="1" applyFill="1" applyBorder="1"/>
    <x:xf numFmtId="220" fontId="45" fillId="64" borderId="5" xfId="0" applyNumberFormat="1" applyFont="1" applyFill="1" applyBorder="1"/>
    <x:xf numFmtId="0" fontId="0" fillId="68" borderId="0" xfId="0" applyNumberFormat="1" applyFont="1" applyFill="1" applyBorder="1"/>
    <x:xf numFmtId="0" fontId="3" fillId="68" borderId="0" xfId="0" applyNumberFormat="1" applyFont="1" applyFill="1" applyBorder="1"/>
    <x:xf numFmtId="0" fontId="3" fillId="68" borderId="0" xfId="0" applyNumberFormat="1" applyFont="1" applyFill="1" applyBorder="1" applyAlignment="1">
      <x:alignment vertical="center"/>
    </x:xf>
    <x:xf numFmtId="0" fontId="0" fillId="69" borderId="0" xfId="0" applyNumberFormat="1" applyFont="1" applyFill="1" applyBorder="1"/>
    <x:xf numFmtId="0" fontId="38" fillId="69" borderId="0" xfId="0" applyNumberFormat="1" applyFont="1" applyFill="1" applyBorder="1"/>
    <x:xf numFmtId="0" fontId="38" fillId="69" borderId="0" xfId="0" applyNumberFormat="1" applyFont="1" applyFill="1" applyBorder="1" applyAlignment="1">
      <x:alignment wrapText="1"/>
    </x:xf>
    <x:xf numFmtId="0" fontId="38" fillId="69" borderId="0" xfId="0" applyNumberFormat="1" applyFont="1" applyFill="1" applyBorder="1" applyAlignment="1">
      <x:alignment vertical="center" wrapText="1"/>
    </x:xf>
    <x:xf numFmtId="0" fontId="0" fillId="70" borderId="0" xfId="0" applyNumberFormat="1" applyFont="1" applyFill="1" applyBorder="1"/>
    <x:xf numFmtId="0" fontId="18" fillId="70" borderId="0" xfId="0" applyNumberFormat="1" applyFont="1" applyFill="1" applyBorder="1"/>
    <x:xf numFmtId="0" fontId="18" fillId="70" borderId="0" xfId="0" applyNumberFormat="1" applyFont="1" applyFill="1" applyBorder="1" applyAlignment="1">
      <x:alignment wrapText="1"/>
    </x:xf>
    <x:xf numFmtId="0" fontId="45" fillId="70" borderId="0" xfId="0" applyNumberFormat="1" applyFont="1" applyFill="1" applyBorder="1"/>
    <x:xf numFmtId="220" fontId="45" fillId="70" borderId="0" xfId="0" applyNumberFormat="1" applyFont="1" applyFill="1" applyBorder="1"/>
    <x:xf numFmtId="0" fontId="0" fillId="71" borderId="0" xfId="0" applyNumberFormat="1" applyFont="1" applyFill="1" applyBorder="1"/>
    <x:xf numFmtId="0" fontId="44" fillId="71" borderId="0" xfId="0" applyNumberFormat="1" applyFont="1" applyFill="1" applyBorder="1"/>
    <x:xf numFmtId="220" fontId="44" fillId="71" borderId="0" xfId="0" applyNumberFormat="1" applyFont="1" applyFill="1" applyBorder="1"/>
    <x:xf numFmtId="0" fontId="0" fillId="72" borderId="0" xfId="0" applyNumberFormat="1" applyFont="1" applyFill="1" applyBorder="1"/>
    <x:xf numFmtId="0" fontId="6" fillId="72" borderId="0" xfId="0" applyNumberFormat="1" applyFont="1" applyFill="1" applyBorder="1"/>
    <x:xf numFmtId="220" fontId="6" fillId="72" borderId="0" xfId="0" applyNumberFormat="1" applyFont="1" applyFill="1" applyBorder="1"/>
    <x:xf numFmtId="217" fontId="45" fillId="70" borderId="0" xfId="0" applyNumberFormat="1" applyFont="1" applyFill="1" applyBorder="1"/>
    <x:xf numFmtId="0" fontId="0" fillId="73" borderId="0" xfId="0" applyNumberFormat="1" applyFont="1" applyFill="1" applyBorder="1"/>
    <x:xf numFmtId="0" fontId="39" fillId="73" borderId="0" xfId="0" applyNumberFormat="1" applyFont="1" applyFill="1" applyBorder="1"/>
    <x:xf numFmtId="0" fontId="39" fillId="73" borderId="0" xfId="0" applyNumberFormat="1" applyFont="1" applyFill="1" applyBorder="1" applyAlignment="1">
      <x:alignment wrapText="1"/>
    </x:xf>
    <x:xf numFmtId="0" fontId="39" fillId="73" borderId="0" xfId="0" applyNumberFormat="1" applyFont="1" applyFill="1" applyBorder="1" applyAlignment="1">
      <x:alignment vertical="center" wrapText="1"/>
    </x:xf>
    <x:xf numFmtId="0" fontId="0" fillId="74" borderId="0" xfId="0" applyNumberFormat="1" applyFont="1" applyFill="1" applyBorder="1"/>
    <x:xf numFmtId="0" fontId="21" fillId="74" borderId="0" xfId="0" applyNumberFormat="1" applyFont="1" applyFill="1" applyBorder="1"/>
    <x:xf numFmtId="0" fontId="21" fillId="74" borderId="0" xfId="0" applyNumberFormat="1" applyFont="1" applyFill="1" applyBorder="1" applyAlignment="1">
      <x:alignment wrapText="1"/>
    </x:xf>
    <x:xf numFmtId="0" fontId="21" fillId="74" borderId="0" xfId="0" applyNumberFormat="1" applyFont="1" applyFill="1" applyBorder="1" applyAlignment="1">
      <x:alignment vertical="center" wrapText="1"/>
    </x:xf>
    <x:xf numFmtId="0" fontId="4" fillId="70" borderId="0" xfId="0" applyNumberFormat="1" applyFont="1" applyFill="1" applyBorder="1"/>
    <x:xf numFmtId="0" fontId="4" fillId="70" borderId="1" xfId="0" applyNumberFormat="1" applyFont="1" applyFill="1" applyBorder="1"/>
    <x:xf numFmtId="0" fontId="4" fillId="70" borderId="1" xfId="0" applyNumberFormat="1" applyFont="1" applyFill="1" applyBorder="1" applyAlignment="1">
      <x:alignment wrapText="1"/>
    </x:xf>
    <x:xf numFmtId="0" fontId="4" fillId="70" borderId="1" xfId="0" applyNumberFormat="1" applyFont="1" applyFill="1" applyBorder="1" applyAlignment="1">
      <x:alignment vertical="center" wrapText="1"/>
    </x:xf>
    <x:xf numFmtId="220" fontId="0" fillId="72" borderId="0" xfId="0" applyNumberFormat="1" applyFont="1" applyFill="1" applyBorder="1"/>
    <x:xf numFmtId="0" fontId="0" fillId="75" borderId="0" xfId="0" applyNumberFormat="1" applyFont="1" applyFill="1" applyBorder="1"/>
    <x:xf numFmtId="0" fontId="3" fillId="75" borderId="0" xfId="0" applyNumberFormat="1" applyFont="1" applyFill="1" applyBorder="1"/>
    <x:xf numFmtId="0" fontId="3" fillId="75" borderId="0" xfId="0" applyNumberFormat="1" applyFont="1" applyFill="1" applyBorder="1" applyAlignment="1">
      <x:alignment vertical="center"/>
    </x:xf>
    <x:xf numFmtId="0" fontId="0" fillId="76" borderId="0" xfId="0" applyNumberFormat="1" applyFont="1" applyFill="1" applyBorder="1"/>
    <x:xf numFmtId="0" fontId="38" fillId="76" borderId="0" xfId="0" applyNumberFormat="1" applyFont="1" applyFill="1" applyBorder="1"/>
    <x:xf numFmtId="0" fontId="38" fillId="76" borderId="0" xfId="0" applyNumberFormat="1" applyFont="1" applyFill="1" applyBorder="1" applyAlignment="1">
      <x:alignment wrapText="1"/>
    </x:xf>
    <x:xf numFmtId="0" fontId="38" fillId="76" borderId="0" xfId="0" applyNumberFormat="1" applyFont="1" applyFill="1" applyBorder="1" applyAlignment="1">
      <x:alignment vertical="center" wrapText="1"/>
    </x:xf>
    <x:xf numFmtId="0" fontId="0" fillId="77" borderId="0" xfId="0" applyNumberFormat="1" applyFont="1" applyFill="1" applyBorder="1"/>
    <x:xf numFmtId="0" fontId="18" fillId="77" borderId="0" xfId="0" applyNumberFormat="1" applyFont="1" applyFill="1" applyBorder="1"/>
    <x:xf numFmtId="0" fontId="18" fillId="77" borderId="0" xfId="0" applyNumberFormat="1" applyFont="1" applyFill="1" applyBorder="1" applyAlignment="1">
      <x:alignment wrapText="1"/>
    </x:xf>
    <x:xf numFmtId="0" fontId="45" fillId="77" borderId="0" xfId="0" applyNumberFormat="1" applyFont="1" applyFill="1" applyBorder="1"/>
    <x:xf numFmtId="220" fontId="45" fillId="77" borderId="0" xfId="0" applyNumberFormat="1" applyFont="1" applyFill="1" applyBorder="1"/>
    <x:xf numFmtId="0" fontId="0" fillId="78" borderId="0" xfId="0" applyNumberFormat="1" applyFont="1" applyFill="1" applyBorder="1"/>
    <x:xf numFmtId="0" fontId="44" fillId="78" borderId="0" xfId="0" applyNumberFormat="1" applyFont="1" applyFill="1" applyBorder="1"/>
    <x:xf numFmtId="220" fontId="44" fillId="78" borderId="0" xfId="0" applyNumberFormat="1" applyFont="1" applyFill="1" applyBorder="1"/>
    <x:xf numFmtId="0" fontId="0" fillId="79" borderId="0" xfId="0" applyNumberFormat="1" applyFont="1" applyFill="1" applyBorder="1"/>
    <x:xf numFmtId="0" fontId="6" fillId="79" borderId="0" xfId="0" applyNumberFormat="1" applyFont="1" applyFill="1" applyBorder="1"/>
    <x:xf numFmtId="220" fontId="6" fillId="79" borderId="0" xfId="0" applyNumberFormat="1" applyFont="1" applyFill="1" applyBorder="1"/>
    <x:xf numFmtId="217" fontId="45" fillId="77" borderId="0" xfId="0" applyNumberFormat="1" applyFont="1" applyFill="1" applyBorder="1"/>
    <x:xf numFmtId="0" fontId="0" fillId="80" borderId="0" xfId="0" applyNumberFormat="1" applyFont="1" applyFill="1" applyBorder="1"/>
    <x:xf numFmtId="0" fontId="39" fillId="80" borderId="0" xfId="0" applyNumberFormat="1" applyFont="1" applyFill="1" applyBorder="1"/>
    <x:xf numFmtId="0" fontId="39" fillId="80" borderId="0" xfId="0" applyNumberFormat="1" applyFont="1" applyFill="1" applyBorder="1" applyAlignment="1">
      <x:alignment wrapText="1"/>
    </x:xf>
    <x:xf numFmtId="0" fontId="39" fillId="80" borderId="0" xfId="0" applyNumberFormat="1" applyFont="1" applyFill="1" applyBorder="1" applyAlignment="1">
      <x:alignment vertical="center" wrapText="1"/>
    </x:xf>
    <x:xf numFmtId="0" fontId="0" fillId="81" borderId="0" xfId="0" applyNumberFormat="1" applyFont="1" applyFill="1" applyBorder="1"/>
    <x:xf numFmtId="0" fontId="21" fillId="81" borderId="0" xfId="0" applyNumberFormat="1" applyFont="1" applyFill="1" applyBorder="1"/>
    <x:xf numFmtId="0" fontId="21" fillId="81" borderId="0" xfId="0" applyNumberFormat="1" applyFont="1" applyFill="1" applyBorder="1" applyAlignment="1">
      <x:alignment wrapText="1"/>
    </x:xf>
    <x:xf numFmtId="0" fontId="21" fillId="81" borderId="0" xfId="0" applyNumberFormat="1" applyFont="1" applyFill="1" applyBorder="1" applyAlignment="1">
      <x:alignment vertical="center" wrapText="1"/>
    </x:xf>
    <x:xf numFmtId="0" fontId="4" fillId="77" borderId="0" xfId="0" applyNumberFormat="1" applyFont="1" applyFill="1" applyBorder="1"/>
    <x:xf numFmtId="0" fontId="4" fillId="77" borderId="1" xfId="0" applyNumberFormat="1" applyFont="1" applyFill="1" applyBorder="1"/>
    <x:xf numFmtId="0" fontId="4" fillId="77" borderId="1" xfId="0" applyNumberFormat="1" applyFont="1" applyFill="1" applyBorder="1" applyAlignment="1">
      <x:alignment wrapText="1"/>
    </x:xf>
    <x:xf numFmtId="0" fontId="4" fillId="77" borderId="1" xfId="0" applyNumberFormat="1" applyFont="1" applyFill="1" applyBorder="1" applyAlignment="1">
      <x:alignment vertical="center" wrapText="1"/>
    </x:xf>
    <x:xf numFmtId="0" fontId="21" fillId="0" borderId="0" xfId="0" applyNumberFormat="1" applyFont="1" applyFill="1" applyBorder="1"/>
    <x:xf numFmtId="220" fontId="21" fillId="0" borderId="0" xfId="0" applyNumberFormat="1" applyFont="1" applyFill="1" applyBorder="1"/>
    <x:xf numFmtId="217" fontId="21" fillId="0" borderId="0" xfId="0" applyNumberFormat="1" applyFont="1" applyFill="1" applyBorder="1"/>
    <x:xf numFmtId="215" fontId="21" fillId="0" borderId="0" xfId="0" applyNumberFormat="1" applyFont="1" applyFill="1" applyBorder="1"/>
    <x:xf numFmtId="204" fontId="21" fillId="0" borderId="0" xfId="0" applyNumberFormat="1" applyFont="1" applyFill="1" applyBorder="1"/>
    <x:xf numFmtId="220" fontId="21" fillId="79" borderId="0" xfId="0" applyNumberFormat="1" applyFont="1" applyFill="1" applyBorder="1"/>
    <x:xf numFmtId="0" fontId="0" fillId="82" borderId="0" xfId="0" applyNumberFormat="1" applyFont="1" applyFill="1" applyBorder="1"/>
    <x:xf numFmtId="0" fontId="3" fillId="82" borderId="0" xfId="0" applyNumberFormat="1" applyFont="1" applyFill="1" applyBorder="1"/>
    <x:xf numFmtId="0" fontId="3" fillId="82" borderId="0" xfId="0" applyNumberFormat="1" applyFont="1" applyFill="1" applyBorder="1" applyAlignment="1">
      <x:alignment vertical="center"/>
    </x:xf>
    <x:xf numFmtId="0" fontId="0" fillId="83" borderId="0" xfId="0" applyNumberFormat="1" applyFont="1" applyFill="1" applyBorder="1"/>
    <x:xf numFmtId="0" fontId="38" fillId="83" borderId="0" xfId="0" applyNumberFormat="1" applyFont="1" applyFill="1" applyBorder="1"/>
    <x:xf numFmtId="0" fontId="38" fillId="83" borderId="0" xfId="0" applyNumberFormat="1" applyFont="1" applyFill="1" applyBorder="1" applyAlignment="1">
      <x:alignment wrapText="1"/>
    </x:xf>
    <x:xf numFmtId="0" fontId="38" fillId="83" borderId="0" xfId="0" applyNumberFormat="1" applyFont="1" applyFill="1" applyBorder="1" applyAlignment="1">
      <x:alignment vertical="center" wrapText="1"/>
    </x:xf>
    <x:xf numFmtId="0" fontId="0" fillId="84" borderId="0" xfId="0" applyNumberFormat="1" applyFont="1" applyFill="1" applyBorder="1"/>
    <x:xf numFmtId="0" fontId="18" fillId="84" borderId="0" xfId="0" applyNumberFormat="1" applyFont="1" applyFill="1" applyBorder="1"/>
    <x:xf numFmtId="0" fontId="18" fillId="84" borderId="0" xfId="0" applyNumberFormat="1" applyFont="1" applyFill="1" applyBorder="1" applyAlignment="1">
      <x:alignment wrapText="1"/>
    </x:xf>
    <x:xf numFmtId="0" fontId="45" fillId="84" borderId="0" xfId="0" applyNumberFormat="1" applyFont="1" applyFill="1" applyBorder="1"/>
    <x:xf numFmtId="220" fontId="45" fillId="84" borderId="0" xfId="0" applyNumberFormat="1" applyFont="1" applyFill="1" applyBorder="1"/>
    <x:xf numFmtId="0" fontId="0" fillId="85" borderId="0" xfId="0" applyNumberFormat="1" applyFont="1" applyFill="1" applyBorder="1"/>
    <x:xf numFmtId="0" fontId="44" fillId="85" borderId="0" xfId="0" applyNumberFormat="1" applyFont="1" applyFill="1" applyBorder="1"/>
    <x:xf numFmtId="220" fontId="44" fillId="85" borderId="0" xfId="0" applyNumberFormat="1" applyFont="1" applyFill="1" applyBorder="1"/>
    <x:xf numFmtId="0" fontId="0" fillId="86" borderId="0" xfId="0" applyNumberFormat="1" applyFont="1" applyFill="1" applyBorder="1"/>
    <x:xf numFmtId="0" fontId="6" fillId="86" borderId="0" xfId="0" applyNumberFormat="1" applyFont="1" applyFill="1" applyBorder="1"/>
    <x:xf numFmtId="220" fontId="6" fillId="86" borderId="0" xfId="0" applyNumberFormat="1" applyFont="1" applyFill="1" applyBorder="1"/>
    <x:xf numFmtId="217" fontId="45" fillId="84" borderId="0" xfId="0" applyNumberFormat="1" applyFont="1" applyFill="1" applyBorder="1"/>
    <x:xf numFmtId="0" fontId="0" fillId="87" borderId="0" xfId="0" applyNumberFormat="1" applyFont="1" applyFill="1" applyBorder="1"/>
    <x:xf numFmtId="0" fontId="39" fillId="87" borderId="0" xfId="0" applyNumberFormat="1" applyFont="1" applyFill="1" applyBorder="1"/>
    <x:xf numFmtId="0" fontId="39" fillId="87" borderId="0" xfId="0" applyNumberFormat="1" applyFont="1" applyFill="1" applyBorder="1" applyAlignment="1">
      <x:alignment wrapText="1"/>
    </x:xf>
    <x:xf numFmtId="0" fontId="39" fillId="87" borderId="0" xfId="0" applyNumberFormat="1" applyFont="1" applyFill="1" applyBorder="1" applyAlignment="1">
      <x:alignment vertical="center" wrapText="1"/>
    </x:xf>
    <x:xf numFmtId="0" fontId="0" fillId="88" borderId="0" xfId="0" applyNumberFormat="1" applyFont="1" applyFill="1" applyBorder="1"/>
    <x:xf numFmtId="0" fontId="21" fillId="88" borderId="0" xfId="0" applyNumberFormat="1" applyFont="1" applyFill="1" applyBorder="1"/>
    <x:xf numFmtId="0" fontId="21" fillId="88" borderId="0" xfId="0" applyNumberFormat="1" applyFont="1" applyFill="1" applyBorder="1" applyAlignment="1">
      <x:alignment wrapText="1"/>
    </x:xf>
    <x:xf numFmtId="0" fontId="21" fillId="88" borderId="0" xfId="0" applyNumberFormat="1" applyFont="1" applyFill="1" applyBorder="1" applyAlignment="1">
      <x:alignment vertical="center" wrapText="1"/>
    </x:xf>
    <x:xf numFmtId="0" fontId="4" fillId="84" borderId="0" xfId="0" applyNumberFormat="1" applyFont="1" applyFill="1" applyBorder="1"/>
    <x:xf numFmtId="0" fontId="4" fillId="84" borderId="1" xfId="0" applyNumberFormat="1" applyFont="1" applyFill="1" applyBorder="1"/>
    <x:xf numFmtId="0" fontId="4" fillId="84" borderId="1" xfId="0" applyNumberFormat="1" applyFont="1" applyFill="1" applyBorder="1" applyAlignment="1">
      <x:alignment wrapText="1"/>
    </x:xf>
    <x:xf numFmtId="0" fontId="4" fillId="84" borderId="1" xfId="0" applyNumberFormat="1" applyFont="1" applyFill="1" applyBorder="1" applyAlignment="1">
      <x:alignment vertical="center" wrapText="1"/>
    </x:xf>
    <x:xf numFmtId="220" fontId="21" fillId="86" borderId="0" xfId="0" applyNumberFormat="1" applyFont="1" applyFill="1" applyBorder="1"/>
    <x:xf numFmtId="208" fontId="9" fillId="0" borderId="0" xfId="0" applyNumberFormat="1" applyFont="1" applyFill="1" applyBorder="1"/>
    <x:xf numFmtId="208" fontId="0" fillId="0" borderId="0" xfId="0" applyNumberFormat="1" applyFont="1" applyFill="1" applyBorder="1"/>
  </x:cellXfs>
  <x:cellStyles count="1">
    <x:cellStyle name="Normal" xfId="0"/>
  </x:cellStyles>
  <x:dxfs count="22">
    <x:dxf>
      <x:font>
        <x:b/>
        <x:color rgb="FFB42318"/>
      </x:font>
      <x:fill>
        <x:patternFill>
          <x:bgColor rgb="FFFDE2E2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ont>
        <x:color rgb="FF397A1F"/>
      </x:font>
      <x:fill>
        <x:patternFill>
          <x:bgColor rgb="FFEAF8DE"/>
        </x:patternFill>
      </x:fill>
    </x:dxf>
    <x:dxf>
      <x:font>
        <x:b/>
        <x:color rgb="FF397A1F"/>
      </x:font>
      <x:fill>
        <x:patternFill>
          <x:bgColor rgb="FFEAF8DE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ont>
        <x:b/>
        <x:color rgb="FF397A1F"/>
      </x:font>
      <x:fill>
        <x:patternFill>
          <x:bgColor rgb="FFEAF8DE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ont>
        <x:b/>
        <x:color rgb="FFA15C00"/>
      </x:font>
      <x:fill>
        <x:patternFill>
          <x:bgColor rgb="FFFFF0C2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ont>
        <x:b/>
        <x:color rgb="FF397A1F"/>
      </x:font>
      <x:fill>
        <x:patternFill>
          <x:bgColor rgb="FFEAF8DE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ont>
        <x:b/>
        <x:color rgb="FF397A1F"/>
      </x:font>
      <x:fill>
        <x:patternFill>
          <x:bgColor rgb="FFEAF8DE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ont>
        <x:color rgb="FF397A1F"/>
      </x:font>
      <x:fill>
        <x:patternFill>
          <x:bgColor rgb="FFEAF8DE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397A1F"/>
      </x:font>
      <x:fill>
        <x:patternFill>
          <x:bgColor rgb="FFEAF8DE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color rgb="FF397A1F"/>
      </x:font>
      <x:fill>
        <x:patternFill>
          <x:bgColor rgb="FFEAF8DE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color rgb="FF397A1F"/>
      </x:font>
      <x:fill>
        <x:patternFill>
          <x:bgColor rgb="FFEAF8DE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7a350e1bd1429e" /><Relationship Type="http://schemas.openxmlformats.org/officeDocument/2006/relationships/theme" Target="/xl/theme/theme1.xml" Id="Re2cc5f8f1fc84f4e" /><Relationship Type="http://schemas.openxmlformats.org/officeDocument/2006/relationships/sharedStrings" Target="/xl/sharedStrings.xml" Id="R1cf38e5ed5424d88" /><Relationship Type="http://schemas.openxmlformats.org/officeDocument/2006/relationships/worksheet" Target="/xl/worksheets/sheet1.xml" Id="R9d38ddde074a4860" /><Relationship Type="http://schemas.openxmlformats.org/officeDocument/2006/relationships/worksheet" Target="/xl/worksheets/sheet2.xml" Id="R92add4ce460f414d" /><Relationship Type="http://schemas.openxmlformats.org/officeDocument/2006/relationships/worksheet" Target="/xl/worksheets/sheet3.xml" Id="R1b3b0c6eae594b49" /><Relationship Type="http://schemas.openxmlformats.org/officeDocument/2006/relationships/worksheet" Target="/xl/worksheets/sheet4.xml" Id="R0847bef7072e4858" /><Relationship Type="http://schemas.openxmlformats.org/officeDocument/2006/relationships/worksheet" Target="/xl/worksheets/sheet5.xml" Id="R013db220a1414d3a" /><Relationship Type="http://schemas.openxmlformats.org/officeDocument/2006/relationships/worksheet" Target="/xl/worksheets/sheet6.xml" Id="Rce832ca0507245b9" /><Relationship Type="http://schemas.openxmlformats.org/officeDocument/2006/relationships/worksheet" Target="/xl/worksheets/sheet7.xml" Id="R7f1d1e71f05c48b1" /><Relationship Type="http://schemas.openxmlformats.org/officeDocument/2006/relationships/worksheet" Target="/xl/worksheets/sheet8.xml" Id="Rc56ad480e4fe4279" /><Relationship Type="http://schemas.openxmlformats.org/officeDocument/2006/relationships/worksheet" Target="/xl/worksheets/sheet9.xml" Id="Rd7150d02017040fb" /><Relationship Type="http://schemas.openxmlformats.org/officeDocument/2006/relationships/worksheet" Target="/xl/worksheets/sheet10.xml" Id="R2b28ea35e4f043a4" /><Relationship Type="http://schemas.openxmlformats.org/officeDocument/2006/relationships/worksheet" Target="/xl/worksheets/sheet11.xml" Id="Rf865516bcf184e5f" /><Relationship Type="http://schemas.microsoft.com/office/2017/10/relationships/person" Target="/xl/persons/person.xml" Id="R088a784870ff44ec" /></Relationships>
</file>

<file path=xl/persons/person.xml><?xml version="1.0" encoding="utf-8"?>
<xltc:personList xmlns:xltc="http://schemas.microsoft.com/office/spreadsheetml/2018/threadedcomments">
  <xltc:person displayName="User" id="{186EB0CB-B561-4308-8727-64289122F855}"/>
  <xltc:person displayName="User" id="{647A7769-E9B2-4FB3-BAE1-4D22BD82D767}"/>
  <xltc:person displayName="Codex" id="{6A9B1265-97CE-4E62-AC19-523FFB7824A9}"/>
</xltc:personList>
</file>

<file path=xl/tables/table1.xml><?xml version="1.0" encoding="utf-8"?>
<x:table xmlns:x="http://schemas.openxmlformats.org/spreadsheetml/2006/main" id="1" name="PaymentTrackerTable" displayName="PaymentTrackerTable" ref="A4:N504" headerRowCount="1" totalsRowCount="0" totalsRowShown="0">
  <x:tableColumns count="14">
    <x:tableColumn id="1" name="Date"/>
    <x:tableColumn id="2" name="Reference"/>
    <x:tableColumn id="3" name="Channel"/>
    <x:tableColumn id="4" name="Plan"/>
    <x:tableColumn id="5" name="Standard Price"/>
    <x:tableColumn id="6" name="Adjustment"/>
    <x:tableColumn id="7" name="Gross Payment"/>
    <x:tableColumn id="8" name="Credits Granted"/>
    <x:tableColumn id="9" name="Fal Reserve"/>
    <x:tableColumn id="10" name="Fees / Refunds"/>
    <x:tableColumn id="11" name="Operations"/>
    <x:tableColumn id="12" name="Safe Profit"/>
    <x:tableColumn id="13" name="Profit Withdrawn?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lPurchaseLog" displayName="FalPurchaseLog" ref="A12:G212" headerRowCount="1" totalsRowCount="0" totalsRowShown="0">
  <x:tableColumns count="7">
    <x:tableColumn id="1" name="Date"/>
    <x:tableColumn id="2" name="Fal Credits Bought (USD)"/>
    <x:tableColumn id="3" name="PHP / USD"/>
    <x:tableColumn id="4" name="Actual PHP Paid"/>
    <x:tableColumn id="5" name="Payment Method"/>
    <x:tableColumn id="6" name="Reference"/>
    <x:tableColumn id="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penseLog" displayName="ExpenseLog" ref="A12:F40" headerRowCount="1" totalsRowCount="0" totalsRowShown="0">
  <x:tableColumns count="6">
    <x:tableColumn id="1" name="Date / Period"/>
    <x:tableColumn id="2" name="Service"/>
    <x:tableColumn id="3" name="Type"/>
    <x:tableColumn id="4" name="USD"/>
    <x:tableColumn id="5" name="PHP Amount"/>
    <x:tableColumn id="6" name="Status /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craftPurchaseLog" displayName="RecraftPurchaseLog" ref="A11:F111" headerRowCount="1" totalsRowCount="0" totalsRowShown="0">
  <x:tableColumns count="6">
    <x:tableColumn id="1" name="Date"/>
    <x:tableColumn id="2" name="USD Bought"/>
    <x:tableColumn id="3" name="Exact PHP Paid"/>
    <x:tableColumn id="4" name="PHP / USD"/>
    <x:tableColumn id="5" name="Receipt #"/>
    <x:tableColumn id="6" name="It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8" dT="2026-08-13T09:34:52.409" personId="{186EB0CB-B561-4308-8727-64289122F855}" id="{C2FC4E45-A19E-3BBE-225F-0E6B3B48758F}">
    <xltc:text>Source: https://fal.ai/nano-banana-pro | As-of: 2026-08-13 | Fal official standard output price.</xltc:text>
  </xltc:threadedComment>
  <xltc:threadedComment ref="B7" dT="2026-08-13T09:34:52.41" personId="{186EB0CB-B561-4308-8727-64289122F855}" id="{D7D22064-8012-E9F0-C38C-9D18F41E2C2C}">
    <xltc:text>Source: https://www.bsp.gov.ph/statistics/external/day99_data.aspx | Conservative rounded working assumption; update periodically.</xltc:text>
  </xltc:threadedComment>
  <xltc:threadedComment ref="B13" dT="2026-08-13T09:34:52.41" personId="{186EB0CB-B561-4308-8727-64289122F855}" id="{F5DA8A68-60A7-2CCF-403C-AABDF49A2ACD}">
    <xltc:text>Source: Syncraft profiles audit | Dynamic balance; replace with latest Admin dashboard total.</xltc:text>
  </xltc:threadedComment>
  <xltc:threadedComment ref="B8" dT="2026-08-13T12:33:31.506" personId="{647A7769-E9B2-4FB3-BAE1-4D22BD82D767}" id="{DB104E43-B777-4880-2FFC-980D0FEBE18A}">
    <xltc:text>Garment Extraction provider cost per successful job. Linked to the detailed Nano + ESRGAN + Recraft audit in Service Cost Model.</xltc:text>
  </xltc:threadedComment>
  <xltc:threadedComment ref="B11" dT="2026-08-13T12:33:31.506" personId="{647A7769-E9B2-4FB3-BAE1-4D22BD82D767}" id="{D92C6239-B1E1-F51C-E513-0310D9A8D2B8}">
    <xltc:text>Optional only. Keep at 0% if you want Direct Profit without an extra safety deduction.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26" dT="2026-08-13T10:21:49.784" personId="{6A9B1265-97CE-4E62-AC19-523FFB7824A9}" id="{42625C92-76B9-6D03-09A7-C7A2A3F7FE7D}">
    <xltc:text>Recommended operating reserve uses the normalized 30-day service mix plus a 20% safety buffer. It is not a guarantee against unlimited image size.</xltc:text>
  </xltc:threadedComment>
  <xltc:threadedComment ref="B28" dT="2026-08-13T10:21:49.785" personId="{6A9B1265-97CE-4E62-AC19-523FFB7824A9}" id="{389CDC5E-0725-1FBF-983B-A6E1DAEB1D64}">
    <xltc:text>The observed 32.576 MP Clarity output shows why the Upscaler needs a megapixel cap or dynamic credit charge.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9dce0632d745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542dea2d40d64cfb" /><Relationship Type="http://schemas.openxmlformats.org/officeDocument/2006/relationships/vmlDrawing" Target="/xl/drawings/vmldrawing.vml" Id="R13b7568bee724b0c" /><Relationship Type="http://schemas.microsoft.com/office/2017/10/relationships/threadedComment" Target="/xl/threadedcomments/threadedcomment.xml" Id="R2ebe0258d6164e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2.xml" Id="R1a2942a30e1443e6" /><Relationship Type="http://schemas.openxmlformats.org/officeDocument/2006/relationships/vmlDrawing" Target="/xl/drawings/vmldrawing2.vml" Id="R53621b111e4a49fb" /><Relationship Type="http://schemas.microsoft.com/office/2017/10/relationships/threadedComment" Target="/xl/threadedcomments/threadedcomment2.xml" Id="Rb919a19d6b8b4e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.xml" Id="R3c25687c8d694b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.xml" Id="Reb144a4d65bf441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4.xml" Id="Rd4aa1a95b0b346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7" hidden="0" customWidth="1"/>
    <x:col min="3" max="3" width="25" hidden="0" customWidth="1"/>
    <x:col min="4" max="4" width="19" hidden="0" customWidth="1"/>
    <x:col min="5" max="5" width="20" hidden="0" customWidth="1"/>
    <x:col min="6" max="6" width="17" hidden="0" customWidth="1"/>
    <x:col min="7" max="7" width="22" hidden="0" customWidth="1"/>
    <x:col min="8" max="8" width="17" hidden="0" customWidth="1"/>
  </x:cols>
  <x:sheetData>
    <x:row r="1" ht="34" customHeight="1">
      <x:c r="A1" s="667" t="str">
        <x:v>Syncraft — Owner Cash Dashboard</x:v>
      </x:c>
      <x:c r="B1" s="667"/>
      <x:c r="C1" s="667"/>
      <x:c r="D1" s="667"/>
      <x:c r="E1" s="667"/>
      <x:c r="F1" s="667"/>
      <x:c r="G1" s="667"/>
      <x:c r="H1" s="667"/>
    </x:row>
    <x:row r="2" ht="34" customHeight="1">
      <x:c r="A2" s="671" t="str">
        <x:v>Start here: check SAFE TO WITHDRAW. Sync Payment automatically adds new valid payments and refreshes active user credits.</x:v>
      </x:c>
      <x:c r="B2" s="671"/>
      <x:c r="C2" s="671"/>
      <x:c r="D2" s="671"/>
      <x:c r="E2" s="671"/>
      <x:c r="F2" s="671"/>
      <x:c r="G2" s="671"/>
      <x:c r="H2" s="671"/>
    </x:row>
    <x:row r="3">
      <x:c r="A3"/>
      <x:c r="B3"/>
      <x:c r="C3"/>
      <x:c r="D3"/>
      <x:c r="E3"/>
      <x:c r="F3"/>
      <x:c r="G3"/>
      <x:c r="H3"/>
    </x:row>
    <x:row r="4" ht="28" customHeight="1">
      <x:c r="A4" s="666" t="str">
        <x:v>MONEY YOU NEED TO KNOW</x:v>
      </x:c>
      <x:c r="B4" s="666"/>
      <x:c r="C4" s="666"/>
      <x:c r="D4" s="666"/>
      <x:c r="E4" s="666"/>
      <x:c r="F4" s="666"/>
      <x:c r="G4" s="666"/>
      <x:c r="H4" s="666"/>
    </x:row>
    <x:row r="5" ht="32" customHeight="1">
      <x:c r="A5" s="674" t="str">
        <x:v>CURRENT CASH</x:v>
      </x:c>
      <x:c r="B5" s="676" t="n">
        <x:f>'Owner Recovery'!B5</x:f>
        <x:v>3444</x:v>
      </x:c>
      <x:c r="C5" s="674" t="str">
        <x:v>KEEP FOR ACTIVE CREDITS</x:v>
      </x:c>
      <x:c r="D5" s="676" t="n">
        <x:f>'Owner Recovery'!B6</x:f>
        <x:v>3714.3437547845365</x:v>
      </x:c>
      <x:c r="E5" s="674" t="str">
        <x:v>STILL NEEDED</x:v>
      </x:c>
      <x:c r="F5" s="679" t="n">
        <x:f>'Owner Recovery'!B7</x:f>
        <x:v>270.3437547845365</x:v>
      </x:c>
      <x:c r="G5" s="674" t="str">
        <x:v>SAFE TO WITHDRAW</x:v>
      </x:c>
      <x:c r="H5" s="682" t="n">
        <x:f>'Owner Recovery'!B8</x:f>
        <x:v>0</x:v>
      </x:c>
    </x:row>
    <x:row r="6" ht="32" customHeight="1">
      <x:c r="A6" s="674" t="str">
        <x:v>CONFIRMED SPENDING</x:v>
      </x:c>
      <x:c r="B6" s="676" t="n">
        <x:f>'Owner Recovery'!B11</x:f>
        <x:v>28941.55</x:v>
      </x:c>
      <x:c r="C6" s="674" t="str">
        <x:v>INVESTMENT STILL TO RECOVER</x:v>
      </x:c>
      <x:c r="D6" s="676" t="n">
        <x:f>'Owner Recovery'!B14</x:f>
        <x:v>28941.55</x:v>
      </x:c>
      <x:c r="E6" s="674" t="str">
        <x:v>REAL PROFIT NOW</x:v>
      </x:c>
      <x:c r="F6" s="682" t="n">
        <x:f>'Owner Recovery'!B15</x:f>
        <x:v>0</x:v>
      </x:c>
      <x:c r="G6" s="674" t="str">
        <x:v>ACTIVE USER CREDITS</x:v>
      </x:c>
      <x:c r="H6" s="683" t="n">
        <x:f>'Assumptions'!B12</x:f>
        <x:v>8506</x:v>
      </x:c>
    </x:row>
    <x:row r="7" ht="28" customHeight="1">
      <x:c r="A7"/>
      <x:c r="B7"/>
      <x:c r="C7"/>
      <x:c r="D7"/>
      <x:c r="E7"/>
      <x:c r="F7"/>
      <x:c r="G7"/>
      <x:c r="H7"/>
    </x:row>
    <x:row r="8" ht="32" customHeight="1">
      <x:c r="A8" s="687" t="str">
        <x:v>Right now: do not withdraw while STILL NEEDED is above ₱0. When SAFE TO WITHDRAW becomes positive, that amount can first repay your investment.</x:v>
      </x:c>
      <x:c r="B8" s="687"/>
      <x:c r="C8" s="687"/>
      <x:c r="D8" s="687"/>
      <x:c r="E8" s="687"/>
      <x:c r="F8" s="687"/>
      <x:c r="G8" s="687"/>
      <x:c r="H8" s="687"/>
    </x:row>
    <x:row r="9">
      <x:c r="A9"/>
      <x:c r="B9"/>
      <x:c r="C9"/>
      <x:c r="D9"/>
      <x:c r="E9"/>
      <x:c r="F9"/>
      <x:c r="G9"/>
      <x:c r="H9"/>
    </x:row>
    <x:row r="10" ht="22" customHeight="1">
      <x:c r="A10" s="666" t="str">
        <x:v>WHERE TO UPDATE</x:v>
      </x:c>
      <x:c r="B10" s="666"/>
      <x:c r="C10" s="666"/>
      <x:c r="D10" s="666"/>
      <x:c r="E10" s="666"/>
      <x:c r="F10" s="666"/>
      <x:c r="G10" s="666"/>
      <x:c r="H10" s="666"/>
    </x:row>
    <x:row r="11" ht="32" customHeight="1">
      <x:c r="A11" s="691" t="str">
        <x:v>Open Owner Recovery only when you spend business cash or withdraw money. New approved payments are added automatically when you say Sync Payment.</x:v>
      </x:c>
      <x:c r="B11" s="691"/>
      <x:c r="C11" s="691"/>
      <x:c r="D11" s="691"/>
      <x:c r="E11" s="691"/>
      <x:c r="F11" s="691"/>
      <x:c r="G11" s="691"/>
      <x:c r="H11" s="691"/>
    </x:row>
    <x:row r="12">
      <x:c r="A12"/>
      <x:c r="B12"/>
      <x:c r="C12"/>
      <x:c r="D12"/>
      <x:c r="E12"/>
      <x:c r="F12"/>
      <x:c r="G12"/>
      <x:c r="H12"/>
    </x:row>
    <x:row r="13">
      <x:c r="A13" s="666" t="str">
        <x:v>PLAN PROFIT — SIMPLE VIEW</x:v>
      </x:c>
      <x:c r="B13" s="666"/>
      <x:c r="C13" s="666"/>
      <x:c r="D13" s="666"/>
      <x:c r="E13" s="666"/>
      <x:c r="F13" s="666"/>
      <x:c r="G13" s="666"/>
      <x:c r="H13" s="666"/>
    </x:row>
    <x:row r="14" ht="30" customHeight="1">
      <x:c r="A14" s="695" t="str">
        <x:v>Plan</x:v>
      </x:c>
      <x:c r="B14" s="695" t="str">
        <x:v>Price</x:v>
      </x:c>
      <x:c r="C14" s="695" t="str">
        <x:v>Credits</x:v>
      </x:c>
      <x:c r="D14" s="695" t="str">
        <x:v>Standard Generations</x:v>
      </x:c>
      <x:c r="E14" s="695" t="str">
        <x:v>Direct Profit</x:v>
      </x:c>
      <x:c r="F14" s="695" t="str">
        <x:v>Margin</x:v>
      </x:c>
      <x:c r="G14"/>
      <x:c r="H14"/>
    </x:row>
    <x:row r="15">
      <x:c r="A15" s="659" t="str">
        <x:f>'Assumptions'!A19</x:f>
        <x:v>Tingi</x:v>
      </x:c>
      <x:c r="B15" s="660" t="n">
        <x:f>'Assumptions'!C19</x:f>
        <x:v>60</x:v>
      </x:c>
      <x:c r="C15" s="661" t="n">
        <x:f>'Assumptions'!B19</x:f>
        <x:v>24</x:v>
      </x:c>
      <x:c r="D15" s="662" t="n">
        <x:f>'Assumptions'!D19</x:f>
        <x:v>2</x:v>
      </x:c>
      <x:c r="E15" s="682" t="n">
        <x:f>'Assumptions'!F19</x:f>
        <x:v>39.105374792</x:v>
      </x:c>
      <x:c r="F15" s="663" t="n">
        <x:f>'Assumptions'!G19</x:f>
        <x:v>0.6517562465333333</x:v>
      </x:c>
      <x:c r="G15"/>
      <x:c r="H15"/>
    </x:row>
    <x:row r="16">
      <x:c r="A16" s="659" t="str">
        <x:f>'Assumptions'!A20</x:f>
        <x:v>Basic</x:v>
      </x:c>
      <x:c r="B16" s="660" t="n">
        <x:f>'Assumptions'!C20</x:f>
        <x:v>149</x:v>
      </x:c>
      <x:c r="C16" s="661" t="n">
        <x:f>'Assumptions'!B20</x:f>
        <x:v>60</x:v>
      </x:c>
      <x:c r="D16" s="662" t="n">
        <x:f>'Assumptions'!D20</x:f>
        <x:v>5</x:v>
      </x:c>
      <x:c r="E16" s="682" t="n">
        <x:f>'Assumptions'!F20</x:f>
        <x:v>96.76343698</x:v>
      </x:c>
      <x:c r="F16" s="663" t="n">
        <x:f>'Assumptions'!G20</x:f>
        <x:v>0.6494190401342281</x:v>
      </x:c>
      <x:c r="G16"/>
      <x:c r="H16"/>
    </x:row>
    <x:row r="17" ht="22" customHeight="1">
      <x:c r="A17" s="659" t="str">
        <x:f>'Assumptions'!A21</x:f>
        <x:v>Starter</x:v>
      </x:c>
      <x:c r="B17" s="660" t="n">
        <x:f>'Assumptions'!C21</x:f>
        <x:v>299</x:v>
      </x:c>
      <x:c r="C17" s="661" t="n">
        <x:f>'Assumptions'!B21</x:f>
        <x:v>168</x:v>
      </x:c>
      <x:c r="D17" s="662" t="n">
        <x:f>'Assumptions'!D21</x:f>
        <x:v>14</x:v>
      </x:c>
      <x:c r="E17" s="682" t="n">
        <x:f>'Assumptions'!F21</x:f>
        <x:v>152.737623544</x:v>
      </x:c>
      <x:c r="F17" s="663" t="n">
        <x:f>'Assumptions'!G21</x:f>
        <x:v>0.5108281723879599</x:v>
      </x:c>
      <x:c r="G17"/>
      <x:c r="H17"/>
    </x:row>
    <x:row r="18" ht="22" customHeight="1">
      <x:c r="A18" s="659" t="str">
        <x:f>'Assumptions'!A22</x:f>
        <x:v>Pro</x:v>
      </x:c>
      <x:c r="B18" s="660" t="n">
        <x:f>'Assumptions'!C22</x:f>
        <x:v>499</x:v>
      </x:c>
      <x:c r="C18" s="661" t="n">
        <x:f>'Assumptions'!B22</x:f>
        <x:v>288</x:v>
      </x:c>
      <x:c r="D18" s="662" t="n">
        <x:f>'Assumptions'!D22</x:f>
        <x:v>24</x:v>
      </x:c>
      <x:c r="E18" s="682" t="n">
        <x:f>'Assumptions'!F22</x:f>
        <x:v>248.264497504</x:v>
      </x:c>
      <x:c r="F18" s="663" t="n">
        <x:f>'Assumptions'!G22</x:f>
        <x:v>0.49752404309418835</x:v>
      </x:c>
      <x:c r="G18"/>
      <x:c r="H18"/>
    </x:row>
    <x:row r="19">
      <x:c r="A19" s="659" t="str">
        <x:f>'Assumptions'!A23</x:f>
        <x:v>Elite</x:v>
      </x:c>
      <x:c r="B19" s="660" t="n">
        <x:f>'Assumptions'!C23</x:f>
        <x:v>899</x:v>
      </x:c>
      <x:c r="C19" s="661" t="n">
        <x:f>'Assumptions'!B23</x:f>
        <x:v>528</x:v>
      </x:c>
      <x:c r="D19" s="662" t="n">
        <x:f>'Assumptions'!D23</x:f>
        <x:v>44</x:v>
      </x:c>
      <x:c r="E19" s="682" t="n">
        <x:f>'Assumptions'!F23</x:f>
        <x:v>439.31824542399994</x:v>
      </x:c>
      <x:c r="F19" s="663" t="n">
        <x:f>'Assumptions'!G23</x:f>
        <x:v>0.48867435531034475</x:v>
      </x:c>
      <x:c r="G19"/>
      <x:c r="H19"/>
    </x:row>
    <x:row r="20">
      <x:c r="A20"/>
      <x:c r="B20"/>
      <x:c r="C20"/>
      <x:c r="D20"/>
      <x:c r="E20"/>
      <x:c r="F20"/>
      <x:c r="G20"/>
      <x:c r="H20"/>
    </x:row>
    <x:row r="21" ht="28" customHeight="1">
      <x:c r="A21" s="687" t="str">
        <x:v>Detailed receipts and cost calculations remain available in Owner Recovery, All Expenses, Fal Purchases, and Recraft Purchases.</x:v>
      </x:c>
      <x:c r="B21" s="687"/>
      <x:c r="C21" s="687"/>
      <x:c r="D21" s="687"/>
      <x:c r="E21" s="687"/>
      <x:c r="F21" s="687"/>
      <x:c r="G21" s="687"/>
      <x:c r="H21" s="687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 ht="30" customHeight="1">
      <x:c r="A26"/>
      <x:c r="B26"/>
      <x:c r="C26"/>
      <x:c r="D26"/>
      <x:c r="E26"/>
      <x:c r="F26"/>
      <x:c r="G26"/>
      <x:c r="H26"/>
    </x:row>
    <x:row r="27" ht="30" customHeight="1">
      <x:c r="A27"/>
      <x:c r="B27"/>
      <x:c r="C27"/>
      <x:c r="D27"/>
      <x:c r="E27"/>
      <x:c r="F27"/>
      <x:c r="G27"/>
      <x:c r="H27"/>
    </x:row>
    <x:row r="29" ht="28" customHeight="1">
      <x:c r="A29"/>
      <x:c r="B29"/>
      <x:c r="C29"/>
      <x:c r="D29"/>
      <x:c r="E29"/>
      <x:c r="F29"/>
      <x:c r="G29"/>
      <x:c r="H29"/>
    </x:row>
  </x:sheetData>
  <x:mergeCells>
    <x:mergeCell ref="A1:H1"/>
    <x:mergeCell ref="A2:H2"/>
    <x:mergeCell ref="A4:H4"/>
    <x:mergeCell ref="A8:H8"/>
    <x:mergeCell ref="A10:H10"/>
    <x:mergeCell ref="A11:H11"/>
    <x:mergeCell ref="A13:H13"/>
    <x:mergeCell ref="A21:H21"/>
  </x:mergeCells>
  <x:conditionalFormatting sqref="H6:H6">
    <x:cfRule type="containsText" dxfId="3" priority="1" operator="containsText" text="FUNDED"/>
    <x:cfRule type="containsText" dxfId="4" priority="2" operator="containsText" text="NEEDS FUNDING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3" hidden="0" customWidth="1"/>
    <x:col min="4" max="4" width="12" hidden="0" customWidth="1"/>
    <x:col min="5" max="5" width="16" hidden="0" customWidth="1"/>
    <x:col min="6" max="6" width="14" hidden="0" customWidth="1"/>
    <x:col min="7" max="7" width="16" hidden="0" customWidth="1"/>
    <x:col min="8" max="8" width="16" hidden="0" customWidth="1"/>
    <x:col min="9" max="9" width="17" hidden="0" customWidth="1"/>
    <x:col min="10" max="10" width="17" hidden="0" customWidth="1"/>
    <x:col min="11" max="11" width="15" hidden="0" customWidth="1"/>
    <x:col min="12" max="12" width="24" hidden="0" customWidth="1"/>
    <x:col min="13" max="13" width="18" hidden="0" customWidth="1"/>
    <x:col min="14" max="14" width="38" hidden="0" customWidth="1"/>
  </x:cols>
  <x:sheetData>
    <x:row r="1" ht="32" customHeight="1">
      <x:c r="A1" s="44" t="str">
        <x:v>Payment Tracker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</x:row>
    <x:row r="2" ht="26" customHeight="1">
      <x:c r="A2" s="7" t="str">
        <x:v>Blue columns are payment inputs. Direct Profit = Gross Payment − estimated Garment-heavy Provider Cost.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279" t="str">
        <x:v>Date</x:v>
      </x:c>
      <x:c r="B4" s="279" t="str">
        <x:v>Reference</x:v>
      </x:c>
      <x:c r="C4" s="279" t="str">
        <x:v>Channel</x:v>
      </x:c>
      <x:c r="D4" s="279" t="str">
        <x:v>Plan</x:v>
      </x:c>
      <x:c r="E4" s="279" t="str">
        <x:v>Standard Price</x:v>
      </x:c>
      <x:c r="F4" s="279" t="str">
        <x:v>Adjustment</x:v>
      </x:c>
      <x:c r="G4" s="279" t="str">
        <x:v>Gross Payment</x:v>
      </x:c>
      <x:c r="H4" s="279" t="str">
        <x:v>Credits Granted</x:v>
      </x:c>
      <x:c r="I4" s="279" t="str">
        <x:v>Provider Cost</x:v>
      </x:c>
      <x:c r="J4" s="279" t="str">
        <x:v>Direct Profit</x:v>
      </x:c>
      <x:c r="K4" s="279" t="str">
        <x:v>Profit Margin</x:v>
      </x:c>
      <x:c r="L4" s="279" t="str">
        <x:v>Profit After Optional Buffer</x:v>
      </x:c>
      <x:c r="M4" s="279" t="str">
        <x:v>Profit Withdrawn?</x:v>
      </x:c>
      <x:c r="N4" s="279" t="str">
        <x:v>Notes</x:v>
      </x:c>
    </x:row>
    <x:row r="5">
      <x:c r="A5" s="324" t="n">
        <x:v>46247.5009333912</x:v>
      </x:c>
      <x:c r="B5" s="327" t="str">
        <x:v>​7043927923008</x:v>
      </x:c>
      <x:c r="C5" s="78" t="str">
        <x:v>GCash</x:v>
      </x:c>
      <x:c r="D5" s="79" t="str">
        <x:v>Pro</x:v>
      </x:c>
      <x:c r="E5" s="91" t="n">
        <x:f>IFERROR(VLOOKUP(D5,'Assumptions'!$A$19:$C$23,3,FALSE),0)</x:f>
        <x:v>499</x:v>
      </x:c>
      <x:c r="F5" s="92" t="n">
        <x:v>0</x:v>
      </x:c>
      <x:c r="G5" s="91" t="n">
        <x:f>IF(D5="",0,E5+F5)</x:f>
        <x:v>499</x:v>
      </x:c>
      <x:c r="H5" s="97" t="n">
        <x:f>IFERROR(VLOOKUP(D5,'Assumptions'!$A$19:$C$23,2,FALSE),0)</x:f>
        <x:v>288</x:v>
      </x:c>
      <x:c r="I5" s="91" t="n">
        <x:f>IF(D5="",0,H5*'Assumptions'!$B$10)</x:f>
        <x:v>250.735502496</x:v>
      </x:c>
      <x:c r="J5" s="336" t="n">
        <x:f>IF(D5="",0,G5-I5)</x:f>
        <x:v>248.264497504</x:v>
      </x:c>
      <x:c r="K5" s="330" t="n">
        <x:f>IF(G5=0,0,J5/G5)</x:f>
        <x:v>0.49752404309418835</x:v>
      </x:c>
      <x:c r="L5" s="342" t="n">
        <x:f>IF(D5="",0,J5-I5*'Assumptions'!$B$11)</x:f>
        <x:v>248.264497504</x:v>
      </x:c>
      <x:c r="M5" s="77" t="str">
        <x:v>No</x:v>
      </x:c>
      <x:c r="N5" s="79" t="str">
        <x:v>Auto-synced 2026-08-13T12:05:37.473Z | payment id 0b717b2f-13bd-4893-bc35-9f091d8f2a15</x:v>
      </x:c>
    </x:row>
    <x:row r="6">
      <x:c r="A6" s="325" t="n">
        <x:v>46247.50145644676</x:v>
      </x:c>
      <x:c r="B6" s="328" t="str">
        <x:v>​9043927937661</x:v>
      </x:c>
      <x:c r="C6" s="75" t="str">
        <x:v>GCash</x:v>
      </x:c>
      <x:c r="D6" s="81" t="str">
        <x:v>Basic</x:v>
      </x:c>
      <x:c r="E6" s="93" t="n">
        <x:f>IFERROR(VLOOKUP(D6,'Assumptions'!$A$19:$C$23,3,FALSE),0)</x:f>
        <x:v>149</x:v>
      </x:c>
      <x:c r="F6" s="94" t="n">
        <x:v>0</x:v>
      </x:c>
      <x:c r="G6" s="93" t="n">
        <x:f>IF(D6="",0,E6+F6)</x:f>
        <x:v>149</x:v>
      </x:c>
      <x:c r="H6" s="98" t="n">
        <x:f>IFERROR(VLOOKUP(D6,'Assumptions'!$A$19:$C$23,2,FALSE),0)</x:f>
        <x:v>60</x:v>
      </x:c>
      <x:c r="I6" s="93" t="n">
        <x:f>IF(D6="",0,H6*'Assumptions'!$B$10)</x:f>
        <x:v>52.236563020000006</x:v>
      </x:c>
      <x:c r="J6" s="337" t="n">
        <x:f>IF(D6="",0,G6-I6)</x:f>
        <x:v>96.76343698</x:v>
      </x:c>
      <x:c r="K6" s="331" t="n">
        <x:f>IF(G6=0,0,J6/G6)</x:f>
        <x:v>0.6494190401342281</x:v>
      </x:c>
      <x:c r="L6" s="343" t="n">
        <x:f>IF(D6="",0,J6-I6*'Assumptions'!$B$11)</x:f>
        <x:v>96.76343698</x:v>
      </x:c>
      <x:c r="M6" s="80" t="str">
        <x:v>No</x:v>
      </x:c>
      <x:c r="N6" s="81" t="str">
        <x:v>Auto-synced 2026-08-13T12:05:37.473Z | payment id a85b7f3e-0b24-442d-b377-0e2ea46d49a0</x:v>
      </x:c>
    </x:row>
    <x:row r="7">
      <x:c r="A7" s="325" t="n">
        <x:v>46248.018193194446</x:v>
      </x:c>
      <x:c r="B7" s="328" t="str">
        <x:v>​09274208401</x:v>
      </x:c>
      <x:c r="C7" s="75" t="str">
        <x:v>GCash</x:v>
      </x:c>
      <x:c r="D7" s="81" t="str">
        <x:v>Starter</x:v>
      </x:c>
      <x:c r="E7" s="93" t="n">
        <x:f>IFERROR(VLOOKUP(D7,'Assumptions'!$A$19:$C$23,3,FALSE),0)</x:f>
        <x:v>299</x:v>
      </x:c>
      <x:c r="F7" s="94" t="n">
        <x:v>0</x:v>
      </x:c>
      <x:c r="G7" s="93" t="n">
        <x:f>IF(D7="",0,E7+F7)</x:f>
        <x:v>299</x:v>
      </x:c>
      <x:c r="H7" s="98" t="n">
        <x:f>IFERROR(VLOOKUP(D7,'Assumptions'!$A$19:$C$23,2,FALSE),0)</x:f>
        <x:v>168</x:v>
      </x:c>
      <x:c r="I7" s="93" t="n">
        <x:f>IF(D7="",0,H7*'Assumptions'!$B$10)</x:f>
        <x:v>146.262376456</x:v>
      </x:c>
      <x:c r="J7" s="337" t="n">
        <x:f>IF(D7="",0,G7-I7)</x:f>
        <x:v>152.737623544</x:v>
      </x:c>
      <x:c r="K7" s="331" t="n">
        <x:f>IF(G7=0,0,J7/G7)</x:f>
        <x:v>0.5108281723879599</x:v>
      </x:c>
      <x:c r="L7" s="343" t="n">
        <x:f>IF(D7="",0,J7-I7*'Assumptions'!$B$11)</x:f>
        <x:v>152.737623544</x:v>
      </x:c>
      <x:c r="M7" s="80" t="str">
        <x:v>No</x:v>
      </x:c>
      <x:c r="N7" s="81" t="str">
        <x:v>Auto-synced 2026-08-14T00:34:18.938Z | payment id 8e0e3c3f-20cc-4b54-98a3-9086c0e977ca</x:v>
      </x:c>
    </x:row>
    <x:row r="8">
      <x:c r="A8" s="325" t="n">
        <x:v>46248.19384329861</x:v>
      </x:c>
      <x:c r="B8" s="328" t="str">
        <x:v>​09983412831</x:v>
      </x:c>
      <x:c r="C8" s="75" t="str">
        <x:v>GCash</x:v>
      </x:c>
      <x:c r="D8" s="81" t="str">
        <x:v>Tingi</x:v>
      </x:c>
      <x:c r="E8" s="93" t="n">
        <x:f>IFERROR(VLOOKUP(D8,'Assumptions'!$A$19:$C$23,3,FALSE),0)</x:f>
        <x:v>60</x:v>
      </x:c>
      <x:c r="F8" s="94" t="n">
        <x:v>0</x:v>
      </x:c>
      <x:c r="G8" s="93" t="n">
        <x:f>IF(D8="",0,E8+F8)</x:f>
        <x:v>60</x:v>
      </x:c>
      <x:c r="H8" s="98" t="n">
        <x:f>IFERROR(VLOOKUP(D8,'Assumptions'!$A$19:$C$23,2,FALSE),0)</x:f>
        <x:v>24</x:v>
      </x:c>
      <x:c r="I8" s="93" t="n">
        <x:f>IF(D8="",0,H8*'Assumptions'!$B$10)</x:f>
        <x:v>20.894625208</x:v>
      </x:c>
      <x:c r="J8" s="337" t="n">
        <x:f>IF(D8="",0,G8-I8)</x:f>
        <x:v>39.105374792</x:v>
      </x:c>
      <x:c r="K8" s="331" t="n">
        <x:f>IF(G8=0,0,J8/G8)</x:f>
        <x:v>0.6517562465333333</x:v>
      </x:c>
      <x:c r="L8" s="343" t="n">
        <x:f>IF(D8="",0,J8-I8*'Assumptions'!$B$11)</x:f>
        <x:v>39.105374792</x:v>
      </x:c>
      <x:c r="M8" s="80" t="str">
        <x:v>No</x:v>
      </x:c>
      <x:c r="N8" s="81" t="str">
        <x:v>Auto-synced 2026-08-14T05:23:57.083Z | payment id 8f3644b2-ed94-4863-9b1f-214bd5329a3d</x:v>
      </x:c>
    </x:row>
    <x:row r="9">
      <x:c r="A9" s="325" t="n">
        <x:v>46248.384962013886</x:v>
      </x:c>
      <x:c r="B9" s="328" t="str">
        <x:v>​09283768102</x:v>
      </x:c>
      <x:c r="C9" s="75" t="str">
        <x:v>GCash</x:v>
      </x:c>
      <x:c r="D9" s="81" t="str">
        <x:v>Tingi</x:v>
      </x:c>
      <x:c r="E9" s="93" t="n">
        <x:f>IFERROR(VLOOKUP(D9,'Assumptions'!$A$19:$C$23,3,FALSE),0)</x:f>
        <x:v>60</x:v>
      </x:c>
      <x:c r="F9" s="94" t="n">
        <x:v>0</x:v>
      </x:c>
      <x:c r="G9" s="93" t="n">
        <x:f>IF(D9="",0,E9+F9)</x:f>
        <x:v>60</x:v>
      </x:c>
      <x:c r="H9" s="98" t="n">
        <x:f>IFERROR(VLOOKUP(D9,'Assumptions'!$A$19:$C$23,2,FALSE),0)</x:f>
        <x:v>24</x:v>
      </x:c>
      <x:c r="I9" s="93" t="n">
        <x:f>IF(D9="",0,H9*'Assumptions'!$B$10)</x:f>
        <x:v>20.894625208</x:v>
      </x:c>
      <x:c r="J9" s="337" t="n">
        <x:f>IF(D9="",0,G9-I9)</x:f>
        <x:v>39.105374792</x:v>
      </x:c>
      <x:c r="K9" s="331" t="n">
        <x:f>IF(G9=0,0,J9/G9)</x:f>
        <x:v>0.6517562465333333</x:v>
      </x:c>
      <x:c r="L9" s="343" t="n">
        <x:f>IF(D9="",0,J9-I9*'Assumptions'!$B$11)</x:f>
        <x:v>39.105374792</x:v>
      </x:c>
      <x:c r="M9" s="80" t="str">
        <x:v>No</x:v>
      </x:c>
      <x:c r="N9" s="81" t="str">
        <x:v>Auto-synced 2026-08-14T09:56:26.871Z | payment id 5a79a55a-2d32-4d1b-afa0-ad87bb6825ba</x:v>
      </x:c>
    </x:row>
    <x:row r="10">
      <x:c r="A10" s="325" t="n">
        <x:v>46248.41247585648</x:v>
      </x:c>
      <x:c r="B10" s="328" t="str">
        <x:v>​09605705185</x:v>
      </x:c>
      <x:c r="C10" s="75" t="str">
        <x:v>GCash</x:v>
      </x:c>
      <x:c r="D10" s="81" t="str">
        <x:v>Basic</x:v>
      </x:c>
      <x:c r="E10" s="93" t="n">
        <x:f>IFERROR(VLOOKUP(D10,'Assumptions'!$A$19:$C$23,3,FALSE),0)</x:f>
        <x:v>149</x:v>
      </x:c>
      <x:c r="F10" s="94" t="n">
        <x:v>0</x:v>
      </x:c>
      <x:c r="G10" s="93" t="n">
        <x:f>IF(D10="",0,E10+F10)</x:f>
        <x:v>149</x:v>
      </x:c>
      <x:c r="H10" s="98" t="n">
        <x:f>IFERROR(VLOOKUP(D10,'Assumptions'!$A$19:$C$23,2,FALSE),0)</x:f>
        <x:v>60</x:v>
      </x:c>
      <x:c r="I10" s="93" t="n">
        <x:f>IF(D10="",0,H10*'Assumptions'!$B$10)</x:f>
        <x:v>52.236563020000006</x:v>
      </x:c>
      <x:c r="J10" s="337" t="n">
        <x:f>IF(D10="",0,G10-I10)</x:f>
        <x:v>96.76343698</x:v>
      </x:c>
      <x:c r="K10" s="331" t="n">
        <x:f>IF(G10=0,0,J10/G10)</x:f>
        <x:v>0.6494190401342281</x:v>
      </x:c>
      <x:c r="L10" s="343" t="n">
        <x:f>IF(D10="",0,J10-I10*'Assumptions'!$B$11)</x:f>
        <x:v>96.76343698</x:v>
      </x:c>
      <x:c r="M10" s="80" t="str">
        <x:v>No</x:v>
      </x:c>
      <x:c r="N10" s="81" t="str">
        <x:v>Auto-synced 2026-08-14T09:56:26.871Z | payment id ebf2feee-26b2-4a28-a9fa-bdf89edce735</x:v>
      </x:c>
    </x:row>
    <x:row r="11">
      <x:c r="A11" s="325" t="n">
        <x:v>46249.13066831019</x:v>
      </x:c>
      <x:c r="B11" s="328" t="str">
        <x:v>​4043981238107</x:v>
      </x:c>
      <x:c r="C11" s="75" t="str">
        <x:v>GCash</x:v>
      </x:c>
      <x:c r="D11" s="81" t="str">
        <x:v>Tingi</x:v>
      </x:c>
      <x:c r="E11" s="93" t="n">
        <x:f>IFERROR(VLOOKUP(D11,'Assumptions'!$A$19:$C$23,3,FALSE),0)</x:f>
        <x:v>60</x:v>
      </x:c>
      <x:c r="F11" s="94" t="n">
        <x:v>0</x:v>
      </x:c>
      <x:c r="G11" s="93" t="n">
        <x:f>IF(D11="",0,E11+F11)</x:f>
        <x:v>60</x:v>
      </x:c>
      <x:c r="H11" s="98" t="n">
        <x:f>IFERROR(VLOOKUP(D11,'Assumptions'!$A$19:$C$23,2,FALSE),0)</x:f>
        <x:v>24</x:v>
      </x:c>
      <x:c r="I11" s="93" t="n">
        <x:f>IF(D11="",0,H11*'Assumptions'!$B$10)</x:f>
        <x:v>20.894625208</x:v>
      </x:c>
      <x:c r="J11" s="337" t="n">
        <x:f>IF(D11="",0,G11-I11)</x:f>
        <x:v>39.105374792</x:v>
      </x:c>
      <x:c r="K11" s="331" t="n">
        <x:f>IF(G11=0,0,J11/G11)</x:f>
        <x:v>0.6517562465333333</x:v>
      </x:c>
      <x:c r="L11" s="343" t="n">
        <x:f>IF(D11="",0,J11-I11*'Assumptions'!$B$11)</x:f>
        <x:v>39.105374792</x:v>
      </x:c>
      <x:c r="M11" s="80" t="str">
        <x:v>No</x:v>
      </x:c>
      <x:c r="N11" s="81" t="str">
        <x:v>Auto-synced 2026-08-15T13:34:36.686Z | payment id c5d0344d-2fe1-43c0-840f-a3952fa8e91f</x:v>
      </x:c>
    </x:row>
    <x:row r="12">
      <x:c r="A12" s="325" t="n">
        <x:v>46249.236914953704</x:v>
      </x:c>
      <x:c r="B12" s="328" t="str">
        <x:v>​09943142353</x:v>
      </x:c>
      <x:c r="C12" s="75" t="str">
        <x:v>GCash</x:v>
      </x:c>
      <x:c r="D12" s="81" t="str">
        <x:v>Tingi</x:v>
      </x:c>
      <x:c r="E12" s="93" t="n">
        <x:f>IFERROR(VLOOKUP(D12,'Assumptions'!$A$19:$C$23,3,FALSE),0)</x:f>
        <x:v>60</x:v>
      </x:c>
      <x:c r="F12" s="94" t="n">
        <x:v>0</x:v>
      </x:c>
      <x:c r="G12" s="93" t="n">
        <x:f>IF(D12="",0,E12+F12)</x:f>
        <x:v>60</x:v>
      </x:c>
      <x:c r="H12" s="98" t="n">
        <x:f>IFERROR(VLOOKUP(D12,'Assumptions'!$A$19:$C$23,2,FALSE),0)</x:f>
        <x:v>24</x:v>
      </x:c>
      <x:c r="I12" s="93" t="n">
        <x:f>IF(D12="",0,H12*'Assumptions'!$B$10)</x:f>
        <x:v>20.894625208</x:v>
      </x:c>
      <x:c r="J12" s="337" t="n">
        <x:f>IF(D12="",0,G12-I12)</x:f>
        <x:v>39.105374792</x:v>
      </x:c>
      <x:c r="K12" s="331" t="n">
        <x:f>IF(G12=0,0,J12/G12)</x:f>
        <x:v>0.6517562465333333</x:v>
      </x:c>
      <x:c r="L12" s="343" t="n">
        <x:f>IF(D12="",0,J12-I12*'Assumptions'!$B$11)</x:f>
        <x:v>39.105374792</x:v>
      </x:c>
      <x:c r="M12" s="80" t="str">
        <x:v>No</x:v>
      </x:c>
      <x:c r="N12" s="81" t="str">
        <x:v>Auto-synced 2026-08-15T13:34:36.686Z | payment id 2fc7678c-f7c0-4073-b914-224c69e92602</x:v>
      </x:c>
    </x:row>
    <x:row r="13">
      <x:c r="A13" s="325" t="n">
        <x:v>46249.23981254629</x:v>
      </x:c>
      <x:c r="B13" s="328" t="str">
        <x:v>​09468499302</x:v>
      </x:c>
      <x:c r="C13" s="75" t="str">
        <x:v>GCash</x:v>
      </x:c>
      <x:c r="D13" s="81" t="str">
        <x:v>Tingi</x:v>
      </x:c>
      <x:c r="E13" s="93" t="n">
        <x:f>IFERROR(VLOOKUP(D13,'Assumptions'!$A$19:$C$23,3,FALSE),0)</x:f>
        <x:v>60</x:v>
      </x:c>
      <x:c r="F13" s="94" t="n">
        <x:v>0</x:v>
      </x:c>
      <x:c r="G13" s="93" t="n">
        <x:f>IF(D13="",0,E13+F13)</x:f>
        <x:v>60</x:v>
      </x:c>
      <x:c r="H13" s="98" t="n">
        <x:f>IFERROR(VLOOKUP(D13,'Assumptions'!$A$19:$C$23,2,FALSE),0)</x:f>
        <x:v>24</x:v>
      </x:c>
      <x:c r="I13" s="93" t="n">
        <x:f>IF(D13="",0,H13*'Assumptions'!$B$10)</x:f>
        <x:v>20.894625208</x:v>
      </x:c>
      <x:c r="J13" s="337" t="n">
        <x:f>IF(D13="",0,G13-I13)</x:f>
        <x:v>39.105374792</x:v>
      </x:c>
      <x:c r="K13" s="331" t="n">
        <x:f>IF(G13=0,0,J13/G13)</x:f>
        <x:v>0.6517562465333333</x:v>
      </x:c>
      <x:c r="L13" s="343" t="n">
        <x:f>IF(D13="",0,J13-I13*'Assumptions'!$B$11)</x:f>
        <x:v>39.105374792</x:v>
      </x:c>
      <x:c r="M13" s="80" t="str">
        <x:v>No</x:v>
      </x:c>
      <x:c r="N13" s="81" t="str">
        <x:v>Auto-synced 2026-08-15T13:34:36.686Z | payment id 7f16b0ef-bcb3-48f4-8f8b-b6e8b0dddb01</x:v>
      </x:c>
    </x:row>
    <x:row r="14">
      <x:c r="A14" s="325" t="n">
        <x:v>46249.619187094904</x:v>
      </x:c>
      <x:c r="B14" s="328" t="str">
        <x:v>​09094382875</x:v>
      </x:c>
      <x:c r="C14" s="75" t="str">
        <x:v>GCash</x:v>
      </x:c>
      <x:c r="D14" s="81" t="str">
        <x:v>Starter</x:v>
      </x:c>
      <x:c r="E14" s="93" t="n">
        <x:f>IFERROR(VLOOKUP(D14,'Assumptions'!$A$19:$C$23,3,FALSE),0)</x:f>
        <x:v>299</x:v>
      </x:c>
      <x:c r="F14" s="94" t="n">
        <x:v>0</x:v>
      </x:c>
      <x:c r="G14" s="93" t="n">
        <x:f>IF(D14="",0,E14+F14)</x:f>
        <x:v>299</x:v>
      </x:c>
      <x:c r="H14" s="98" t="n">
        <x:f>IFERROR(VLOOKUP(D14,'Assumptions'!$A$19:$C$23,2,FALSE),0)</x:f>
        <x:v>168</x:v>
      </x:c>
      <x:c r="I14" s="93" t="n">
        <x:f>IF(D14="",0,H14*'Assumptions'!$B$10)</x:f>
        <x:v>146.262376456</x:v>
      </x:c>
      <x:c r="J14" s="337" t="n">
        <x:f>IF(D14="",0,G14-I14)</x:f>
        <x:v>152.737623544</x:v>
      </x:c>
      <x:c r="K14" s="331" t="n">
        <x:f>IF(G14=0,0,J14/G14)</x:f>
        <x:v>0.5108281723879599</x:v>
      </x:c>
      <x:c r="L14" s="343" t="n">
        <x:f>IF(D14="",0,J14-I14*'Assumptions'!$B$11)</x:f>
        <x:v>152.737623544</x:v>
      </x:c>
      <x:c r="M14" s="80" t="str">
        <x:v>No</x:v>
      </x:c>
      <x:c r="N14" s="81" t="str">
        <x:v>Auto-synced 2026-08-15T15:42:09.007Z | payment id 1da7eb0c-ff3d-4d49-bcfc-b023436b7b5e</x:v>
      </x:c>
    </x:row>
    <x:row r="15">
      <x:c r="A15" s="325" t="n">
        <x:v>46250.18774371528</x:v>
      </x:c>
      <x:c r="B15" s="328" t="str">
        <x:v>​09761846436</x:v>
      </x:c>
      <x:c r="C15" s="75" t="str">
        <x:v>GCash</x:v>
      </x:c>
      <x:c r="D15" s="81" t="str">
        <x:v>Pro</x:v>
      </x:c>
      <x:c r="E15" s="93" t="n">
        <x:f>IFERROR(VLOOKUP(D15,'Assumptions'!$A$19:$C$23,3,FALSE),0)</x:f>
        <x:v>499</x:v>
      </x:c>
      <x:c r="F15" s="94" t="n">
        <x:v>0</x:v>
      </x:c>
      <x:c r="G15" s="93" t="n">
        <x:f>IF(D15="",0,E15+F15)</x:f>
        <x:v>499</x:v>
      </x:c>
      <x:c r="H15" s="98" t="n">
        <x:f>IFERROR(VLOOKUP(D15,'Assumptions'!$A$19:$C$23,2,FALSE),0)</x:f>
        <x:v>288</x:v>
      </x:c>
      <x:c r="I15" s="93" t="n">
        <x:f>IF(D15="",0,H15*'Assumptions'!$B$10)</x:f>
        <x:v>250.735502496</x:v>
      </x:c>
      <x:c r="J15" s="337" t="n">
        <x:f>IF(D15="",0,G15-I15)</x:f>
        <x:v>248.264497504</x:v>
      </x:c>
      <x:c r="K15" s="331" t="n">
        <x:f>IF(G15=0,0,J15/G15)</x:f>
        <x:v>0.49752404309418835</x:v>
      </x:c>
      <x:c r="L15" s="343" t="n">
        <x:f>IF(D15="",0,J15-I15*'Assumptions'!$B$11)</x:f>
        <x:v>248.264497504</x:v>
      </x:c>
      <x:c r="M15" s="80" t="str">
        <x:v>No</x:v>
      </x:c>
      <x:c r="N15" s="81" t="str">
        <x:v>Auto-synced 2026-08-16T05:22:00.558Z | payment id 7c15b961-3153-48cc-8005-9f90f73beebd</x:v>
      </x:c>
    </x:row>
    <x:row r="16">
      <x:c r="A16" s="325" t="n">
        <x:v>46250.58680387731</x:v>
      </x:c>
      <x:c r="B16" s="328" t="str">
        <x:v>​1044042</x:v>
      </x:c>
      <x:c r="C16" s="75" t="str">
        <x:v>GCash</x:v>
      </x:c>
      <x:c r="D16" s="81" t="str">
        <x:v>Starter</x:v>
      </x:c>
      <x:c r="E16" s="93" t="n">
        <x:f>IFERROR(VLOOKUP(D16,'Assumptions'!$A$19:$C$23,3,FALSE),0)</x:f>
        <x:v>299</x:v>
      </x:c>
      <x:c r="F16" s="94" t="n">
        <x:v>0</x:v>
      </x:c>
      <x:c r="G16" s="93" t="n">
        <x:f>IF(D16="",0,E16+F16)</x:f>
        <x:v>299</x:v>
      </x:c>
      <x:c r="H16" s="98" t="n">
        <x:f>IFERROR(VLOOKUP(D16,'Assumptions'!$A$19:$C$23,2,FALSE),0)</x:f>
        <x:v>168</x:v>
      </x:c>
      <x:c r="I16" s="93" t="n">
        <x:f>IF(D16="",0,H16*'Assumptions'!$B$10)</x:f>
        <x:v>146.262376456</x:v>
      </x:c>
      <x:c r="J16" s="337" t="n">
        <x:f>IF(D16="",0,G16-I16)</x:f>
        <x:v>152.737623544</x:v>
      </x:c>
      <x:c r="K16" s="331" t="n">
        <x:f>IF(G16=0,0,J16/G16)</x:f>
        <x:v>0.5108281723879599</x:v>
      </x:c>
      <x:c r="L16" s="343" t="n">
        <x:f>IF(D16="",0,J16-I16*'Assumptions'!$B$11)</x:f>
        <x:v>152.737623544</x:v>
      </x:c>
      <x:c r="M16" s="80" t="str">
        <x:v>No</x:v>
      </x:c>
      <x:c r="N16" s="81" t="str">
        <x:v>Auto-synced 2026-08-16T14:06:36.202Z | payment id 9be50db7-e97e-4693-a4ff-d05bb6725d38</x:v>
      </x:c>
    </x:row>
    <x:row r="17">
      <x:c r="A17" s="325" t="n">
        <x:v>46250.61678321759</x:v>
      </x:c>
      <x:c r="B17" s="328" t="str">
        <x:v>​09854758022</x:v>
      </x:c>
      <x:c r="C17" s="75" t="str">
        <x:v>GCash</x:v>
      </x:c>
      <x:c r="D17" s="81" t="str">
        <x:v>Tingi</x:v>
      </x:c>
      <x:c r="E17" s="93" t="n">
        <x:f>IFERROR(VLOOKUP(D17,'Assumptions'!$A$19:$C$23,3,FALSE),0)</x:f>
        <x:v>60</x:v>
      </x:c>
      <x:c r="F17" s="94" t="n">
        <x:v>0</x:v>
      </x:c>
      <x:c r="G17" s="93" t="n">
        <x:f>IF(D17="",0,E17+F17)</x:f>
        <x:v>60</x:v>
      </x:c>
      <x:c r="H17" s="98" t="n">
        <x:f>IFERROR(VLOOKUP(D17,'Assumptions'!$A$19:$C$23,2,FALSE),0)</x:f>
        <x:v>24</x:v>
      </x:c>
      <x:c r="I17" s="93" t="n">
        <x:f>IF(D17="",0,H17*'Assumptions'!$B$10)</x:f>
        <x:v>20.894625208</x:v>
      </x:c>
      <x:c r="J17" s="337" t="n">
        <x:f>IF(D17="",0,G17-I17)</x:f>
        <x:v>39.105374792</x:v>
      </x:c>
      <x:c r="K17" s="331" t="n">
        <x:f>IF(G17=0,0,J17/G17)</x:f>
        <x:v>0.6517562465333333</x:v>
      </x:c>
      <x:c r="L17" s="343" t="n">
        <x:f>IF(D17="",0,J17-I17*'Assumptions'!$B$11)</x:f>
        <x:v>39.105374792</x:v>
      </x:c>
      <x:c r="M17" s="80" t="str">
        <x:v>No</x:v>
      </x:c>
      <x:c r="N17" s="81" t="str">
        <x:v>Auto-synced 2026-08-16T15:00:32.955Z | payment id e9a6fcc5-1ad4-4c47-a934-d010e2d9ec02</x:v>
      </x:c>
    </x:row>
    <x:row r="18">
      <x:c r="A18" s="325" t="n">
        <x:v>46250.94622208333</x:v>
      </x:c>
      <x:c r="B18" s="328" t="str">
        <x:v>​09356477386</x:v>
      </x:c>
      <x:c r="C18" s="75" t="str">
        <x:v>GCash</x:v>
      </x:c>
      <x:c r="D18" s="81" t="str">
        <x:v>Tingi</x:v>
      </x:c>
      <x:c r="E18" s="93" t="n">
        <x:f>IFERROR(VLOOKUP(D18,'Assumptions'!$A$19:$C$23,3,FALSE),0)</x:f>
        <x:v>60</x:v>
      </x:c>
      <x:c r="F18" s="94" t="n">
        <x:v>0</x:v>
      </x:c>
      <x:c r="G18" s="93" t="n">
        <x:f>IF(D18="",0,E18+F18)</x:f>
        <x:v>60</x:v>
      </x:c>
      <x:c r="H18" s="98" t="n">
        <x:f>IFERROR(VLOOKUP(D18,'Assumptions'!$A$19:$C$23,2,FALSE),0)</x:f>
        <x:v>24</x:v>
      </x:c>
      <x:c r="I18" s="93" t="n">
        <x:f>IF(D18="",0,H18*'Assumptions'!$B$10)</x:f>
        <x:v>20.894625208</x:v>
      </x:c>
      <x:c r="J18" s="337" t="n">
        <x:f>IF(D18="",0,G18-I18)</x:f>
        <x:v>39.105374792</x:v>
      </x:c>
      <x:c r="K18" s="331" t="n">
        <x:f>IF(G18=0,0,J18/G18)</x:f>
        <x:v>0.6517562465333333</x:v>
      </x:c>
      <x:c r="L18" s="343" t="n">
        <x:f>IF(D18="",0,J18-I18*'Assumptions'!$B$11)</x:f>
        <x:v>39.105374792</x:v>
      </x:c>
      <x:c r="M18" s="80" t="str">
        <x:v>No</x:v>
      </x:c>
      <x:c r="N18" s="81" t="str">
        <x:v>Auto-synced 2026-08-17T08:57:26.342Z | payment id eba076a6-8416-4103-9c4f-edb691af33d1</x:v>
      </x:c>
    </x:row>
    <x:row r="19">
      <x:c r="A19" s="325" t="n">
        <x:v>46251.104977233794</x:v>
      </x:c>
      <x:c r="B19" s="328" t="str">
        <x:v>​09468499302</x:v>
      </x:c>
      <x:c r="C19" s="75" t="str">
        <x:v>GCash</x:v>
      </x:c>
      <x:c r="D19" s="81" t="str">
        <x:v>Basic</x:v>
      </x:c>
      <x:c r="E19" s="93" t="n">
        <x:f>IFERROR(VLOOKUP(D19,'Assumptions'!$A$19:$C$23,3,FALSE),0)</x:f>
        <x:v>149</x:v>
      </x:c>
      <x:c r="F19" s="94" t="n">
        <x:v>0</x:v>
      </x:c>
      <x:c r="G19" s="93" t="n">
        <x:f>IF(D19="",0,E19+F19)</x:f>
        <x:v>149</x:v>
      </x:c>
      <x:c r="H19" s="98" t="n">
        <x:f>IFERROR(VLOOKUP(D19,'Assumptions'!$A$19:$C$23,2,FALSE),0)</x:f>
        <x:v>60</x:v>
      </x:c>
      <x:c r="I19" s="93" t="n">
        <x:f>IF(D19="",0,H19*'Assumptions'!$B$10)</x:f>
        <x:v>52.236563020000006</x:v>
      </x:c>
      <x:c r="J19" s="337" t="n">
        <x:f>IF(D19="",0,G19-I19)</x:f>
        <x:v>96.76343698</x:v>
      </x:c>
      <x:c r="K19" s="331" t="n">
        <x:f>IF(G19=0,0,J19/G19)</x:f>
        <x:v>0.6494190401342281</x:v>
      </x:c>
      <x:c r="L19" s="343" t="n">
        <x:f>IF(D19="",0,J19-I19*'Assumptions'!$B$11)</x:f>
        <x:v>96.76343698</x:v>
      </x:c>
      <x:c r="M19" s="80" t="str">
        <x:v>No</x:v>
      </x:c>
      <x:c r="N19" s="81" t="str">
        <x:v>Auto-synced 2026-08-17T08:57:26.342Z | payment id 6f663aaa-0391-499d-a95d-597fc5bc0c7c</x:v>
      </x:c>
    </x:row>
    <x:row r="20">
      <x:c r="A20" s="325" t="n">
        <x:v>46251.13071417824</x:v>
      </x:c>
      <x:c r="B20" s="328" t="str">
        <x:v>​09926266665</x:v>
      </x:c>
      <x:c r="C20" s="75" t="str">
        <x:v>GCash</x:v>
      </x:c>
      <x:c r="D20" s="81" t="str">
        <x:v>Tingi</x:v>
      </x:c>
      <x:c r="E20" s="93" t="n">
        <x:f>IFERROR(VLOOKUP(D20,'Assumptions'!$A$19:$C$23,3,FALSE),0)</x:f>
        <x:v>60</x:v>
      </x:c>
      <x:c r="F20" s="94" t="n">
        <x:v>0</x:v>
      </x:c>
      <x:c r="G20" s="93" t="n">
        <x:f>IF(D20="",0,E20+F20)</x:f>
        <x:v>60</x:v>
      </x:c>
      <x:c r="H20" s="98" t="n">
        <x:f>IFERROR(VLOOKUP(D20,'Assumptions'!$A$19:$C$23,2,FALSE),0)</x:f>
        <x:v>24</x:v>
      </x:c>
      <x:c r="I20" s="93" t="n">
        <x:f>IF(D20="",0,H20*'Assumptions'!$B$10)</x:f>
        <x:v>20.894625208</x:v>
      </x:c>
      <x:c r="J20" s="337" t="n">
        <x:f>IF(D20="",0,G20-I20)</x:f>
        <x:v>39.105374792</x:v>
      </x:c>
      <x:c r="K20" s="331" t="n">
        <x:f>IF(G20=0,0,J20/G20)</x:f>
        <x:v>0.6517562465333333</x:v>
      </x:c>
      <x:c r="L20" s="343" t="n">
        <x:f>IF(D20="",0,J20-I20*'Assumptions'!$B$11)</x:f>
        <x:v>39.105374792</x:v>
      </x:c>
      <x:c r="M20" s="80" t="str">
        <x:v>No</x:v>
      </x:c>
      <x:c r="N20" s="81" t="str">
        <x:v>Auto-synced 2026-08-17T08:57:26.342Z | payment id 3c39a399-7a42-4bfd-9471-c2861f1c8f3a</x:v>
      </x:c>
    </x:row>
    <x:row r="21">
      <x:c r="A21" s="325" t="n">
        <x:v>46251.280449212965</x:v>
      </x:c>
      <x:c r="B21" s="328" t="str">
        <x:v>​09984898734</x:v>
      </x:c>
      <x:c r="C21" s="75" t="str">
        <x:v>GCash</x:v>
      </x:c>
      <x:c r="D21" s="81" t="str">
        <x:v>Starter</x:v>
      </x:c>
      <x:c r="E21" s="93" t="n">
        <x:f>IFERROR(VLOOKUP(D21,'Assumptions'!$A$19:$C$23,3,FALSE),0)</x:f>
        <x:v>299</x:v>
      </x:c>
      <x:c r="F21" s="94" t="n">
        <x:v>0</x:v>
      </x:c>
      <x:c r="G21" s="93" t="n">
        <x:f>IF(D21="",0,E21+F21)</x:f>
        <x:v>299</x:v>
      </x:c>
      <x:c r="H21" s="98" t="n">
        <x:f>IFERROR(VLOOKUP(D21,'Assumptions'!$A$19:$C$23,2,FALSE),0)</x:f>
        <x:v>168</x:v>
      </x:c>
      <x:c r="I21" s="93" t="n">
        <x:f>IF(D21="",0,H21*'Assumptions'!$B$10)</x:f>
        <x:v>146.262376456</x:v>
      </x:c>
      <x:c r="J21" s="337" t="n">
        <x:f>IF(D21="",0,G21-I21)</x:f>
        <x:v>152.737623544</x:v>
      </x:c>
      <x:c r="K21" s="331" t="n">
        <x:f>IF(G21=0,0,J21/G21)</x:f>
        <x:v>0.5108281723879599</x:v>
      </x:c>
      <x:c r="L21" s="343" t="n">
        <x:f>IF(D21="",0,J21-I21*'Assumptions'!$B$11)</x:f>
        <x:v>152.737623544</x:v>
      </x:c>
      <x:c r="M21" s="80" t="str">
        <x:v>No</x:v>
      </x:c>
      <x:c r="N21" s="81" t="str">
        <x:v>Auto-synced 2026-08-17T08:57:26.342Z | payment id 2ea2f426-6799-49bb-ab4d-82f37df91085</x:v>
      </x:c>
    </x:row>
    <x:row r="22">
      <x:c r="A22" s="325" t="n">
        <x:v>46251.29774462963</x:v>
      </x:c>
      <x:c r="B22" s="328" t="str">
        <x:v>​09605705185</x:v>
      </x:c>
      <x:c r="C22" s="75" t="str">
        <x:v>GCash</x:v>
      </x:c>
      <x:c r="D22" s="81" t="str">
        <x:v>Basic</x:v>
      </x:c>
      <x:c r="E22" s="93" t="n">
        <x:f>IFERROR(VLOOKUP(D22,'Assumptions'!$A$19:$C$23,3,FALSE),0)</x:f>
        <x:v>149</x:v>
      </x:c>
      <x:c r="F22" s="94" t="n">
        <x:v>0</x:v>
      </x:c>
      <x:c r="G22" s="93" t="n">
        <x:f>IF(D22="",0,E22+F22)</x:f>
        <x:v>149</x:v>
      </x:c>
      <x:c r="H22" s="98" t="n">
        <x:f>IFERROR(VLOOKUP(D22,'Assumptions'!$A$19:$C$23,2,FALSE),0)</x:f>
        <x:v>60</x:v>
      </x:c>
      <x:c r="I22" s="93" t="n">
        <x:f>IF(D22="",0,H22*'Assumptions'!$B$10)</x:f>
        <x:v>52.236563020000006</x:v>
      </x:c>
      <x:c r="J22" s="337" t="n">
        <x:f>IF(D22="",0,G22-I22)</x:f>
        <x:v>96.76343698</x:v>
      </x:c>
      <x:c r="K22" s="331" t="n">
        <x:f>IF(G22=0,0,J22/G22)</x:f>
        <x:v>0.6494190401342281</x:v>
      </x:c>
      <x:c r="L22" s="343" t="n">
        <x:f>IF(D22="",0,J22-I22*'Assumptions'!$B$11)</x:f>
        <x:v>96.76343698</x:v>
      </x:c>
      <x:c r="M22" s="80" t="str">
        <x:v>No</x:v>
      </x:c>
      <x:c r="N22" s="81" t="str">
        <x:v>Auto-synced 2026-08-17T08:57:26.342Z | payment id 9e39dfe0-2a64-4bd4-b6b8-fa88db770c7e</x:v>
      </x:c>
    </x:row>
    <x:row r="23">
      <x:c r="A23" s="325"/>
      <x:c r="B23" s="328"/>
      <x:c r="C23" s="75"/>
      <x:c r="D23" s="81"/>
      <x:c r="E23" s="93" t="n">
        <x:f>IFERROR(VLOOKUP(D23,'Assumptions'!$A$19:$C$23,3,FALSE),0)</x:f>
        <x:v>0</x:v>
      </x:c>
      <x:c r="F23" s="94"/>
      <x:c r="G23" s="93" t="n">
        <x:f>IF(D23="",0,E23+F23)</x:f>
        <x:v>0</x:v>
      </x:c>
      <x:c r="H23" s="98" t="n">
        <x:f>IFERROR(VLOOKUP(D23,'Assumptions'!$A$19:$C$23,2,FALSE),0)</x:f>
        <x:v>0</x:v>
      </x:c>
      <x:c r="I23" s="93" t="n">
        <x:f>IF(D23="",0,H23*'Assumptions'!$B$10)</x:f>
        <x:v>0</x:v>
      </x:c>
      <x:c r="J23" s="337" t="n">
        <x:f>IF(D23="",0,G23-I23)</x:f>
        <x:v>0</x:v>
      </x:c>
      <x:c r="K23" s="331" t="n">
        <x:f>IF(G23=0,0,J23/G23)</x:f>
        <x:v>0</x:v>
      </x:c>
      <x:c r="L23" s="343" t="n">
        <x:f>IF(D23="",0,J23-I23*'Assumptions'!$B$11)</x:f>
        <x:v>0</x:v>
      </x:c>
      <x:c r="M23" s="80"/>
      <x:c r="N23" s="81"/>
    </x:row>
    <x:row r="24">
      <x:c r="A24" s="325"/>
      <x:c r="B24" s="328"/>
      <x:c r="C24" s="75"/>
      <x:c r="D24" s="81"/>
      <x:c r="E24" s="93" t="n">
        <x:f>IFERROR(VLOOKUP(D24,'Assumptions'!$A$19:$C$23,3,FALSE),0)</x:f>
        <x:v>0</x:v>
      </x:c>
      <x:c r="F24" s="94"/>
      <x:c r="G24" s="93" t="n">
        <x:f>IF(D24="",0,E24+F24)</x:f>
        <x:v>0</x:v>
      </x:c>
      <x:c r="H24" s="98" t="n">
        <x:f>IFERROR(VLOOKUP(D24,'Assumptions'!$A$19:$C$23,2,FALSE),0)</x:f>
        <x:v>0</x:v>
      </x:c>
      <x:c r="I24" s="93" t="n">
        <x:f>IF(D24="",0,H24*'Assumptions'!$B$10)</x:f>
        <x:v>0</x:v>
      </x:c>
      <x:c r="J24" s="337" t="n">
        <x:f>IF(D24="",0,G24-I24)</x:f>
        <x:v>0</x:v>
      </x:c>
      <x:c r="K24" s="331" t="n">
        <x:f>IF(G24=0,0,J24/G24)</x:f>
        <x:v>0</x:v>
      </x:c>
      <x:c r="L24" s="343" t="n">
        <x:f>IF(D24="",0,J24-I24*'Assumptions'!$B$11)</x:f>
        <x:v>0</x:v>
      </x:c>
      <x:c r="M24" s="80"/>
      <x:c r="N24" s="81"/>
    </x:row>
    <x:row r="25">
      <x:c r="A25" s="325"/>
      <x:c r="B25" s="328"/>
      <x:c r="C25" s="75"/>
      <x:c r="D25" s="81"/>
      <x:c r="E25" s="93" t="n">
        <x:f>IFERROR(VLOOKUP(D25,'Assumptions'!$A$19:$C$23,3,FALSE),0)</x:f>
        <x:v>0</x:v>
      </x:c>
      <x:c r="F25" s="94"/>
      <x:c r="G25" s="93" t="n">
        <x:f>IF(D25="",0,E25+F25)</x:f>
        <x:v>0</x:v>
      </x:c>
      <x:c r="H25" s="98" t="n">
        <x:f>IFERROR(VLOOKUP(D25,'Assumptions'!$A$19:$C$23,2,FALSE),0)</x:f>
        <x:v>0</x:v>
      </x:c>
      <x:c r="I25" s="93" t="n">
        <x:f>IF(D25="",0,H25*'Assumptions'!$B$10)</x:f>
        <x:v>0</x:v>
      </x:c>
      <x:c r="J25" s="337" t="n">
        <x:f>IF(D25="",0,G25-I25)</x:f>
        <x:v>0</x:v>
      </x:c>
      <x:c r="K25" s="331" t="n">
        <x:f>IF(G25=0,0,J25/G25)</x:f>
        <x:v>0</x:v>
      </x:c>
      <x:c r="L25" s="343" t="n">
        <x:f>IF(D25="",0,J25-I25*'Assumptions'!$B$11)</x:f>
        <x:v>0</x:v>
      </x:c>
      <x:c r="M25" s="80"/>
      <x:c r="N25" s="81"/>
    </x:row>
    <x:row r="26">
      <x:c r="A26" s="325"/>
      <x:c r="B26" s="328"/>
      <x:c r="C26" s="75"/>
      <x:c r="D26" s="81"/>
      <x:c r="E26" s="93" t="n">
        <x:f>IFERROR(VLOOKUP(D26,'Assumptions'!$A$19:$C$23,3,FALSE),0)</x:f>
        <x:v>0</x:v>
      </x:c>
      <x:c r="F26" s="94"/>
      <x:c r="G26" s="93" t="n">
        <x:f>IF(D26="",0,E26+F26)</x:f>
        <x:v>0</x:v>
      </x:c>
      <x:c r="H26" s="98" t="n">
        <x:f>IFERROR(VLOOKUP(D26,'Assumptions'!$A$19:$C$23,2,FALSE),0)</x:f>
        <x:v>0</x:v>
      </x:c>
      <x:c r="I26" s="93" t="n">
        <x:f>IF(D26="",0,H26*'Assumptions'!$B$10)</x:f>
        <x:v>0</x:v>
      </x:c>
      <x:c r="J26" s="337" t="n">
        <x:f>IF(D26="",0,G26-I26)</x:f>
        <x:v>0</x:v>
      </x:c>
      <x:c r="K26" s="331" t="n">
        <x:f>IF(G26=0,0,J26/G26)</x:f>
        <x:v>0</x:v>
      </x:c>
      <x:c r="L26" s="343" t="n">
        <x:f>IF(D26="",0,J26-I26*'Assumptions'!$B$11)</x:f>
        <x:v>0</x:v>
      </x:c>
      <x:c r="M26" s="80"/>
      <x:c r="N26" s="81"/>
    </x:row>
    <x:row r="27">
      <x:c r="A27" s="325"/>
      <x:c r="B27" s="328"/>
      <x:c r="C27" s="75"/>
      <x:c r="D27" s="81"/>
      <x:c r="E27" s="93" t="n">
        <x:f>IFERROR(VLOOKUP(D27,'Assumptions'!$A$19:$C$23,3,FALSE),0)</x:f>
        <x:v>0</x:v>
      </x:c>
      <x:c r="F27" s="94"/>
      <x:c r="G27" s="93" t="n">
        <x:f>IF(D27="",0,E27+F27)</x:f>
        <x:v>0</x:v>
      </x:c>
      <x:c r="H27" s="98" t="n">
        <x:f>IFERROR(VLOOKUP(D27,'Assumptions'!$A$19:$C$23,2,FALSE),0)</x:f>
        <x:v>0</x:v>
      </x:c>
      <x:c r="I27" s="93" t="n">
        <x:f>IF(D27="",0,H27*'Assumptions'!$B$10)</x:f>
        <x:v>0</x:v>
      </x:c>
      <x:c r="J27" s="337" t="n">
        <x:f>IF(D27="",0,G27-I27)</x:f>
        <x:v>0</x:v>
      </x:c>
      <x:c r="K27" s="331" t="n">
        <x:f>IF(G27=0,0,J27/G27)</x:f>
        <x:v>0</x:v>
      </x:c>
      <x:c r="L27" s="343" t="n">
        <x:f>IF(D27="",0,J27-I27*'Assumptions'!$B$11)</x:f>
        <x:v>0</x:v>
      </x:c>
      <x:c r="M27" s="80"/>
      <x:c r="N27" s="81"/>
    </x:row>
    <x:row r="28">
      <x:c r="A28" s="325"/>
      <x:c r="B28" s="328"/>
      <x:c r="C28" s="75"/>
      <x:c r="D28" s="81"/>
      <x:c r="E28" s="93" t="n">
        <x:f>IFERROR(VLOOKUP(D28,'Assumptions'!$A$19:$C$23,3,FALSE),0)</x:f>
        <x:v>0</x:v>
      </x:c>
      <x:c r="F28" s="94"/>
      <x:c r="G28" s="93" t="n">
        <x:f>IF(D28="",0,E28+F28)</x:f>
        <x:v>0</x:v>
      </x:c>
      <x:c r="H28" s="98" t="n">
        <x:f>IFERROR(VLOOKUP(D28,'Assumptions'!$A$19:$C$23,2,FALSE),0)</x:f>
        <x:v>0</x:v>
      </x:c>
      <x:c r="I28" s="93" t="n">
        <x:f>IF(D28="",0,H28*'Assumptions'!$B$10)</x:f>
        <x:v>0</x:v>
      </x:c>
      <x:c r="J28" s="337" t="n">
        <x:f>IF(D28="",0,G28-I28)</x:f>
        <x:v>0</x:v>
      </x:c>
      <x:c r="K28" s="331" t="n">
        <x:f>IF(G28=0,0,J28/G28)</x:f>
        <x:v>0</x:v>
      </x:c>
      <x:c r="L28" s="343" t="n">
        <x:f>IF(D28="",0,J28-I28*'Assumptions'!$B$11)</x:f>
        <x:v>0</x:v>
      </x:c>
      <x:c r="M28" s="80"/>
      <x:c r="N28" s="81"/>
    </x:row>
    <x:row r="29">
      <x:c r="A29" s="325"/>
      <x:c r="B29" s="328"/>
      <x:c r="C29" s="75"/>
      <x:c r="D29" s="81"/>
      <x:c r="E29" s="93" t="n">
        <x:f>IFERROR(VLOOKUP(D29,'Assumptions'!$A$19:$C$23,3,FALSE),0)</x:f>
        <x:v>0</x:v>
      </x:c>
      <x:c r="F29" s="94"/>
      <x:c r="G29" s="93" t="n">
        <x:f>IF(D29="",0,E29+F29)</x:f>
        <x:v>0</x:v>
      </x:c>
      <x:c r="H29" s="98" t="n">
        <x:f>IFERROR(VLOOKUP(D29,'Assumptions'!$A$19:$C$23,2,FALSE),0)</x:f>
        <x:v>0</x:v>
      </x:c>
      <x:c r="I29" s="93" t="n">
        <x:f>IF(D29="",0,H29*'Assumptions'!$B$10)</x:f>
        <x:v>0</x:v>
      </x:c>
      <x:c r="J29" s="337" t="n">
        <x:f>IF(D29="",0,G29-I29)</x:f>
        <x:v>0</x:v>
      </x:c>
      <x:c r="K29" s="331" t="n">
        <x:f>IF(G29=0,0,J29/G29)</x:f>
        <x:v>0</x:v>
      </x:c>
      <x:c r="L29" s="343" t="n">
        <x:f>IF(D29="",0,J29-I29*'Assumptions'!$B$11)</x:f>
        <x:v>0</x:v>
      </x:c>
      <x:c r="M29" s="80"/>
      <x:c r="N29" s="81"/>
    </x:row>
    <x:row r="30">
      <x:c r="A30" s="325"/>
      <x:c r="B30" s="328"/>
      <x:c r="C30" s="75"/>
      <x:c r="D30" s="81"/>
      <x:c r="E30" s="93" t="n">
        <x:f>IFERROR(VLOOKUP(D30,'Assumptions'!$A$19:$C$23,3,FALSE),0)</x:f>
        <x:v>0</x:v>
      </x:c>
      <x:c r="F30" s="94"/>
      <x:c r="G30" s="93" t="n">
        <x:f>IF(D30="",0,E30+F30)</x:f>
        <x:v>0</x:v>
      </x:c>
      <x:c r="H30" s="98" t="n">
        <x:f>IFERROR(VLOOKUP(D30,'Assumptions'!$A$19:$C$23,2,FALSE),0)</x:f>
        <x:v>0</x:v>
      </x:c>
      <x:c r="I30" s="93" t="n">
        <x:f>IF(D30="",0,H30*'Assumptions'!$B$10)</x:f>
        <x:v>0</x:v>
      </x:c>
      <x:c r="J30" s="337" t="n">
        <x:f>IF(D30="",0,G30-I30)</x:f>
        <x:v>0</x:v>
      </x:c>
      <x:c r="K30" s="331" t="n">
        <x:f>IF(G30=0,0,J30/G30)</x:f>
        <x:v>0</x:v>
      </x:c>
      <x:c r="L30" s="343" t="n">
        <x:f>IF(D30="",0,J30-I30*'Assumptions'!$B$11)</x:f>
        <x:v>0</x:v>
      </x:c>
      <x:c r="M30" s="80"/>
      <x:c r="N30" s="81"/>
    </x:row>
    <x:row r="31">
      <x:c r="A31" s="325"/>
      <x:c r="B31" s="328"/>
      <x:c r="C31" s="75"/>
      <x:c r="D31" s="81"/>
      <x:c r="E31" s="93" t="n">
        <x:f>IFERROR(VLOOKUP(D31,'Assumptions'!$A$19:$C$23,3,FALSE),0)</x:f>
        <x:v>0</x:v>
      </x:c>
      <x:c r="F31" s="94"/>
      <x:c r="G31" s="93" t="n">
        <x:f>IF(D31="",0,E31+F31)</x:f>
        <x:v>0</x:v>
      </x:c>
      <x:c r="H31" s="98" t="n">
        <x:f>IFERROR(VLOOKUP(D31,'Assumptions'!$A$19:$C$23,2,FALSE),0)</x:f>
        <x:v>0</x:v>
      </x:c>
      <x:c r="I31" s="93" t="n">
        <x:f>IF(D31="",0,H31*'Assumptions'!$B$10)</x:f>
        <x:v>0</x:v>
      </x:c>
      <x:c r="J31" s="337" t="n">
        <x:f>IF(D31="",0,G31-I31)</x:f>
        <x:v>0</x:v>
      </x:c>
      <x:c r="K31" s="331" t="n">
        <x:f>IF(G31=0,0,J31/G31)</x:f>
        <x:v>0</x:v>
      </x:c>
      <x:c r="L31" s="343" t="n">
        <x:f>IF(D31="",0,J31-I31*'Assumptions'!$B$11)</x:f>
        <x:v>0</x:v>
      </x:c>
      <x:c r="M31" s="80"/>
      <x:c r="N31" s="81"/>
    </x:row>
    <x:row r="32">
      <x:c r="A32" s="325"/>
      <x:c r="B32" s="328"/>
      <x:c r="C32" s="75"/>
      <x:c r="D32" s="81"/>
      <x:c r="E32" s="93" t="n">
        <x:f>IFERROR(VLOOKUP(D32,'Assumptions'!$A$19:$C$23,3,FALSE),0)</x:f>
        <x:v>0</x:v>
      </x:c>
      <x:c r="F32" s="94"/>
      <x:c r="G32" s="93" t="n">
        <x:f>IF(D32="",0,E32+F32)</x:f>
        <x:v>0</x:v>
      </x:c>
      <x:c r="H32" s="98" t="n">
        <x:f>IFERROR(VLOOKUP(D32,'Assumptions'!$A$19:$C$23,2,FALSE),0)</x:f>
        <x:v>0</x:v>
      </x:c>
      <x:c r="I32" s="93" t="n">
        <x:f>IF(D32="",0,H32*'Assumptions'!$B$10)</x:f>
        <x:v>0</x:v>
      </x:c>
      <x:c r="J32" s="337" t="n">
        <x:f>IF(D32="",0,G32-I32)</x:f>
        <x:v>0</x:v>
      </x:c>
      <x:c r="K32" s="331" t="n">
        <x:f>IF(G32=0,0,J32/G32)</x:f>
        <x:v>0</x:v>
      </x:c>
      <x:c r="L32" s="343" t="n">
        <x:f>IF(D32="",0,J32-I32*'Assumptions'!$B$11)</x:f>
        <x:v>0</x:v>
      </x:c>
      <x:c r="M32" s="80"/>
      <x:c r="N32" s="81"/>
    </x:row>
    <x:row r="33">
      <x:c r="A33" s="325"/>
      <x:c r="B33" s="328"/>
      <x:c r="C33" s="75"/>
      <x:c r="D33" s="81"/>
      <x:c r="E33" s="93" t="n">
        <x:f>IFERROR(VLOOKUP(D33,'Assumptions'!$A$19:$C$23,3,FALSE),0)</x:f>
        <x:v>0</x:v>
      </x:c>
      <x:c r="F33" s="94"/>
      <x:c r="G33" s="93" t="n">
        <x:f>IF(D33="",0,E33+F33)</x:f>
        <x:v>0</x:v>
      </x:c>
      <x:c r="H33" s="98" t="n">
        <x:f>IFERROR(VLOOKUP(D33,'Assumptions'!$A$19:$C$23,2,FALSE),0)</x:f>
        <x:v>0</x:v>
      </x:c>
      <x:c r="I33" s="93" t="n">
        <x:f>IF(D33="",0,H33*'Assumptions'!$B$10)</x:f>
        <x:v>0</x:v>
      </x:c>
      <x:c r="J33" s="337" t="n">
        <x:f>IF(D33="",0,G33-I33)</x:f>
        <x:v>0</x:v>
      </x:c>
      <x:c r="K33" s="331" t="n">
        <x:f>IF(G33=0,0,J33/G33)</x:f>
        <x:v>0</x:v>
      </x:c>
      <x:c r="L33" s="343" t="n">
        <x:f>IF(D33="",0,J33-I33*'Assumptions'!$B$11)</x:f>
        <x:v>0</x:v>
      </x:c>
      <x:c r="M33" s="80"/>
      <x:c r="N33" s="81"/>
    </x:row>
    <x:row r="34">
      <x:c r="A34" s="325"/>
      <x:c r="B34" s="328"/>
      <x:c r="C34" s="75"/>
      <x:c r="D34" s="81"/>
      <x:c r="E34" s="93" t="n">
        <x:f>IFERROR(VLOOKUP(D34,'Assumptions'!$A$19:$C$23,3,FALSE),0)</x:f>
        <x:v>0</x:v>
      </x:c>
      <x:c r="F34" s="94"/>
      <x:c r="G34" s="93" t="n">
        <x:f>IF(D34="",0,E34+F34)</x:f>
        <x:v>0</x:v>
      </x:c>
      <x:c r="H34" s="98" t="n">
        <x:f>IFERROR(VLOOKUP(D34,'Assumptions'!$A$19:$C$23,2,FALSE),0)</x:f>
        <x:v>0</x:v>
      </x:c>
      <x:c r="I34" s="93" t="n">
        <x:f>IF(D34="",0,H34*'Assumptions'!$B$10)</x:f>
        <x:v>0</x:v>
      </x:c>
      <x:c r="J34" s="337" t="n">
        <x:f>IF(D34="",0,G34-I34)</x:f>
        <x:v>0</x:v>
      </x:c>
      <x:c r="K34" s="331" t="n">
        <x:f>IF(G34=0,0,J34/G34)</x:f>
        <x:v>0</x:v>
      </x:c>
      <x:c r="L34" s="343" t="n">
        <x:f>IF(D34="",0,J34-I34*'Assumptions'!$B$11)</x:f>
        <x:v>0</x:v>
      </x:c>
      <x:c r="M34" s="80"/>
      <x:c r="N34" s="81"/>
    </x:row>
    <x:row r="35">
      <x:c r="A35" s="325"/>
      <x:c r="B35" s="328"/>
      <x:c r="C35" s="75"/>
      <x:c r="D35" s="81"/>
      <x:c r="E35" s="93" t="n">
        <x:f>IFERROR(VLOOKUP(D35,'Assumptions'!$A$19:$C$23,3,FALSE),0)</x:f>
        <x:v>0</x:v>
      </x:c>
      <x:c r="F35" s="94"/>
      <x:c r="G35" s="93" t="n">
        <x:f>IF(D35="",0,E35+F35)</x:f>
        <x:v>0</x:v>
      </x:c>
      <x:c r="H35" s="98" t="n">
        <x:f>IFERROR(VLOOKUP(D35,'Assumptions'!$A$19:$C$23,2,FALSE),0)</x:f>
        <x:v>0</x:v>
      </x:c>
      <x:c r="I35" s="93" t="n">
        <x:f>IF(D35="",0,H35*'Assumptions'!$B$10)</x:f>
        <x:v>0</x:v>
      </x:c>
      <x:c r="J35" s="337" t="n">
        <x:f>IF(D35="",0,G35-I35)</x:f>
        <x:v>0</x:v>
      </x:c>
      <x:c r="K35" s="331" t="n">
        <x:f>IF(G35=0,0,J35/G35)</x:f>
        <x:v>0</x:v>
      </x:c>
      <x:c r="L35" s="343" t="n">
        <x:f>IF(D35="",0,J35-I35*'Assumptions'!$B$11)</x:f>
        <x:v>0</x:v>
      </x:c>
      <x:c r="M35" s="80"/>
      <x:c r="N35" s="81"/>
    </x:row>
    <x:row r="36">
      <x:c r="A36" s="325"/>
      <x:c r="B36" s="328"/>
      <x:c r="C36" s="75"/>
      <x:c r="D36" s="81"/>
      <x:c r="E36" s="93" t="n">
        <x:f>IFERROR(VLOOKUP(D36,'Assumptions'!$A$19:$C$23,3,FALSE),0)</x:f>
        <x:v>0</x:v>
      </x:c>
      <x:c r="F36" s="94"/>
      <x:c r="G36" s="93" t="n">
        <x:f>IF(D36="",0,E36+F36)</x:f>
        <x:v>0</x:v>
      </x:c>
      <x:c r="H36" s="98" t="n">
        <x:f>IFERROR(VLOOKUP(D36,'Assumptions'!$A$19:$C$23,2,FALSE),0)</x:f>
        <x:v>0</x:v>
      </x:c>
      <x:c r="I36" s="93" t="n">
        <x:f>IF(D36="",0,H36*'Assumptions'!$B$10)</x:f>
        <x:v>0</x:v>
      </x:c>
      <x:c r="J36" s="337" t="n">
        <x:f>IF(D36="",0,G36-I36)</x:f>
        <x:v>0</x:v>
      </x:c>
      <x:c r="K36" s="331" t="n">
        <x:f>IF(G36=0,0,J36/G36)</x:f>
        <x:v>0</x:v>
      </x:c>
      <x:c r="L36" s="343" t="n">
        <x:f>IF(D36="",0,J36-I36*'Assumptions'!$B$11)</x:f>
        <x:v>0</x:v>
      </x:c>
      <x:c r="M36" s="80"/>
      <x:c r="N36" s="81"/>
    </x:row>
    <x:row r="37">
      <x:c r="A37" s="325"/>
      <x:c r="B37" s="328"/>
      <x:c r="C37" s="75"/>
      <x:c r="D37" s="81"/>
      <x:c r="E37" s="93" t="n">
        <x:f>IFERROR(VLOOKUP(D37,'Assumptions'!$A$19:$C$23,3,FALSE),0)</x:f>
        <x:v>0</x:v>
      </x:c>
      <x:c r="F37" s="94"/>
      <x:c r="G37" s="93" t="n">
        <x:f>IF(D37="",0,E37+F37)</x:f>
        <x:v>0</x:v>
      </x:c>
      <x:c r="H37" s="98" t="n">
        <x:f>IFERROR(VLOOKUP(D37,'Assumptions'!$A$19:$C$23,2,FALSE),0)</x:f>
        <x:v>0</x:v>
      </x:c>
      <x:c r="I37" s="93" t="n">
        <x:f>IF(D37="",0,H37*'Assumptions'!$B$10)</x:f>
        <x:v>0</x:v>
      </x:c>
      <x:c r="J37" s="337" t="n">
        <x:f>IF(D37="",0,G37-I37)</x:f>
        <x:v>0</x:v>
      </x:c>
      <x:c r="K37" s="331" t="n">
        <x:f>IF(G37=0,0,J37/G37)</x:f>
        <x:v>0</x:v>
      </x:c>
      <x:c r="L37" s="343" t="n">
        <x:f>IF(D37="",0,J37-I37*'Assumptions'!$B$11)</x:f>
        <x:v>0</x:v>
      </x:c>
      <x:c r="M37" s="80"/>
      <x:c r="N37" s="81"/>
    </x:row>
    <x:row r="38">
      <x:c r="A38" s="325"/>
      <x:c r="B38" s="328"/>
      <x:c r="C38" s="75"/>
      <x:c r="D38" s="81"/>
      <x:c r="E38" s="93" t="n">
        <x:f>IFERROR(VLOOKUP(D38,'Assumptions'!$A$19:$C$23,3,FALSE),0)</x:f>
        <x:v>0</x:v>
      </x:c>
      <x:c r="F38" s="94"/>
      <x:c r="G38" s="93" t="n">
        <x:f>IF(D38="",0,E38+F38)</x:f>
        <x:v>0</x:v>
      </x:c>
      <x:c r="H38" s="98" t="n">
        <x:f>IFERROR(VLOOKUP(D38,'Assumptions'!$A$19:$C$23,2,FALSE),0)</x:f>
        <x:v>0</x:v>
      </x:c>
      <x:c r="I38" s="93" t="n">
        <x:f>IF(D38="",0,H38*'Assumptions'!$B$10)</x:f>
        <x:v>0</x:v>
      </x:c>
      <x:c r="J38" s="337" t="n">
        <x:f>IF(D38="",0,G38-I38)</x:f>
        <x:v>0</x:v>
      </x:c>
      <x:c r="K38" s="331" t="n">
        <x:f>IF(G38=0,0,J38/G38)</x:f>
        <x:v>0</x:v>
      </x:c>
      <x:c r="L38" s="343" t="n">
        <x:f>IF(D38="",0,J38-I38*'Assumptions'!$B$11)</x:f>
        <x:v>0</x:v>
      </x:c>
      <x:c r="M38" s="80"/>
      <x:c r="N38" s="81"/>
    </x:row>
    <x:row r="39">
      <x:c r="A39" s="325"/>
      <x:c r="B39" s="328"/>
      <x:c r="C39" s="75"/>
      <x:c r="D39" s="81"/>
      <x:c r="E39" s="93" t="n">
        <x:f>IFERROR(VLOOKUP(D39,'Assumptions'!$A$19:$C$23,3,FALSE),0)</x:f>
        <x:v>0</x:v>
      </x:c>
      <x:c r="F39" s="94"/>
      <x:c r="G39" s="93" t="n">
        <x:f>IF(D39="",0,E39+F39)</x:f>
        <x:v>0</x:v>
      </x:c>
      <x:c r="H39" s="98" t="n">
        <x:f>IFERROR(VLOOKUP(D39,'Assumptions'!$A$19:$C$23,2,FALSE),0)</x:f>
        <x:v>0</x:v>
      </x:c>
      <x:c r="I39" s="93" t="n">
        <x:f>IF(D39="",0,H39*'Assumptions'!$B$10)</x:f>
        <x:v>0</x:v>
      </x:c>
      <x:c r="J39" s="337" t="n">
        <x:f>IF(D39="",0,G39-I39)</x:f>
        <x:v>0</x:v>
      </x:c>
      <x:c r="K39" s="331" t="n">
        <x:f>IF(G39=0,0,J39/G39)</x:f>
        <x:v>0</x:v>
      </x:c>
      <x:c r="L39" s="343" t="n">
        <x:f>IF(D39="",0,J39-I39*'Assumptions'!$B$11)</x:f>
        <x:v>0</x:v>
      </x:c>
      <x:c r="M39" s="80"/>
      <x:c r="N39" s="81"/>
    </x:row>
    <x:row r="40">
      <x:c r="A40" s="325"/>
      <x:c r="B40" s="328"/>
      <x:c r="C40" s="75"/>
      <x:c r="D40" s="81"/>
      <x:c r="E40" s="93" t="n">
        <x:f>IFERROR(VLOOKUP(D40,'Assumptions'!$A$19:$C$23,3,FALSE),0)</x:f>
        <x:v>0</x:v>
      </x:c>
      <x:c r="F40" s="94"/>
      <x:c r="G40" s="93" t="n">
        <x:f>IF(D40="",0,E40+F40)</x:f>
        <x:v>0</x:v>
      </x:c>
      <x:c r="H40" s="98" t="n">
        <x:f>IFERROR(VLOOKUP(D40,'Assumptions'!$A$19:$C$23,2,FALSE),0)</x:f>
        <x:v>0</x:v>
      </x:c>
      <x:c r="I40" s="93" t="n">
        <x:f>IF(D40="",0,H40*'Assumptions'!$B$10)</x:f>
        <x:v>0</x:v>
      </x:c>
      <x:c r="J40" s="337" t="n">
        <x:f>IF(D40="",0,G40-I40)</x:f>
        <x:v>0</x:v>
      </x:c>
      <x:c r="K40" s="331" t="n">
        <x:f>IF(G40=0,0,J40/G40)</x:f>
        <x:v>0</x:v>
      </x:c>
      <x:c r="L40" s="343" t="n">
        <x:f>IF(D40="",0,J40-I40*'Assumptions'!$B$11)</x:f>
        <x:v>0</x:v>
      </x:c>
      <x:c r="M40" s="80"/>
      <x:c r="N40" s="81"/>
    </x:row>
    <x:row r="41">
      <x:c r="A41" s="325"/>
      <x:c r="B41" s="328"/>
      <x:c r="C41" s="75"/>
      <x:c r="D41" s="81"/>
      <x:c r="E41" s="93" t="n">
        <x:f>IFERROR(VLOOKUP(D41,'Assumptions'!$A$19:$C$23,3,FALSE),0)</x:f>
        <x:v>0</x:v>
      </x:c>
      <x:c r="F41" s="94"/>
      <x:c r="G41" s="93" t="n">
        <x:f>IF(D41="",0,E41+F41)</x:f>
        <x:v>0</x:v>
      </x:c>
      <x:c r="H41" s="98" t="n">
        <x:f>IFERROR(VLOOKUP(D41,'Assumptions'!$A$19:$C$23,2,FALSE),0)</x:f>
        <x:v>0</x:v>
      </x:c>
      <x:c r="I41" s="93" t="n">
        <x:f>IF(D41="",0,H41*'Assumptions'!$B$10)</x:f>
        <x:v>0</x:v>
      </x:c>
      <x:c r="J41" s="337" t="n">
        <x:f>IF(D41="",0,G41-I41)</x:f>
        <x:v>0</x:v>
      </x:c>
      <x:c r="K41" s="331" t="n">
        <x:f>IF(G41=0,0,J41/G41)</x:f>
        <x:v>0</x:v>
      </x:c>
      <x:c r="L41" s="343" t="n">
        <x:f>IF(D41="",0,J41-I41*'Assumptions'!$B$11)</x:f>
        <x:v>0</x:v>
      </x:c>
      <x:c r="M41" s="80"/>
      <x:c r="N41" s="81"/>
    </x:row>
    <x:row r="42">
      <x:c r="A42" s="325"/>
      <x:c r="B42" s="328"/>
      <x:c r="C42" s="75"/>
      <x:c r="D42" s="81"/>
      <x:c r="E42" s="93" t="n">
        <x:f>IFERROR(VLOOKUP(D42,'Assumptions'!$A$19:$C$23,3,FALSE),0)</x:f>
        <x:v>0</x:v>
      </x:c>
      <x:c r="F42" s="94"/>
      <x:c r="G42" s="93" t="n">
        <x:f>IF(D42="",0,E42+F42)</x:f>
        <x:v>0</x:v>
      </x:c>
      <x:c r="H42" s="98" t="n">
        <x:f>IFERROR(VLOOKUP(D42,'Assumptions'!$A$19:$C$23,2,FALSE),0)</x:f>
        <x:v>0</x:v>
      </x:c>
      <x:c r="I42" s="93" t="n">
        <x:f>IF(D42="",0,H42*'Assumptions'!$B$10)</x:f>
        <x:v>0</x:v>
      </x:c>
      <x:c r="J42" s="337" t="n">
        <x:f>IF(D42="",0,G42-I42)</x:f>
        <x:v>0</x:v>
      </x:c>
      <x:c r="K42" s="331" t="n">
        <x:f>IF(G42=0,0,J42/G42)</x:f>
        <x:v>0</x:v>
      </x:c>
      <x:c r="L42" s="343" t="n">
        <x:f>IF(D42="",0,J42-I42*'Assumptions'!$B$11)</x:f>
        <x:v>0</x:v>
      </x:c>
      <x:c r="M42" s="80"/>
      <x:c r="N42" s="81"/>
    </x:row>
    <x:row r="43">
      <x:c r="A43" s="325"/>
      <x:c r="B43" s="328"/>
      <x:c r="C43" s="75"/>
      <x:c r="D43" s="81"/>
      <x:c r="E43" s="93" t="n">
        <x:f>IFERROR(VLOOKUP(D43,'Assumptions'!$A$19:$C$23,3,FALSE),0)</x:f>
        <x:v>0</x:v>
      </x:c>
      <x:c r="F43" s="94"/>
      <x:c r="G43" s="93" t="n">
        <x:f>IF(D43="",0,E43+F43)</x:f>
        <x:v>0</x:v>
      </x:c>
      <x:c r="H43" s="98" t="n">
        <x:f>IFERROR(VLOOKUP(D43,'Assumptions'!$A$19:$C$23,2,FALSE),0)</x:f>
        <x:v>0</x:v>
      </x:c>
      <x:c r="I43" s="93" t="n">
        <x:f>IF(D43="",0,H43*'Assumptions'!$B$10)</x:f>
        <x:v>0</x:v>
      </x:c>
      <x:c r="J43" s="337" t="n">
        <x:f>IF(D43="",0,G43-I43)</x:f>
        <x:v>0</x:v>
      </x:c>
      <x:c r="K43" s="331" t="n">
        <x:f>IF(G43=0,0,J43/G43)</x:f>
        <x:v>0</x:v>
      </x:c>
      <x:c r="L43" s="343" t="n">
        <x:f>IF(D43="",0,J43-I43*'Assumptions'!$B$11)</x:f>
        <x:v>0</x:v>
      </x:c>
      <x:c r="M43" s="80"/>
      <x:c r="N43" s="81"/>
    </x:row>
    <x:row r="44">
      <x:c r="A44" s="325"/>
      <x:c r="B44" s="328"/>
      <x:c r="C44" s="75"/>
      <x:c r="D44" s="81"/>
      <x:c r="E44" s="93" t="n">
        <x:f>IFERROR(VLOOKUP(D44,'Assumptions'!$A$19:$C$23,3,FALSE),0)</x:f>
        <x:v>0</x:v>
      </x:c>
      <x:c r="F44" s="94"/>
      <x:c r="G44" s="93" t="n">
        <x:f>IF(D44="",0,E44+F44)</x:f>
        <x:v>0</x:v>
      </x:c>
      <x:c r="H44" s="98" t="n">
        <x:f>IFERROR(VLOOKUP(D44,'Assumptions'!$A$19:$C$23,2,FALSE),0)</x:f>
        <x:v>0</x:v>
      </x:c>
      <x:c r="I44" s="93" t="n">
        <x:f>IF(D44="",0,H44*'Assumptions'!$B$10)</x:f>
        <x:v>0</x:v>
      </x:c>
      <x:c r="J44" s="337" t="n">
        <x:f>IF(D44="",0,G44-I44)</x:f>
        <x:v>0</x:v>
      </x:c>
      <x:c r="K44" s="331" t="n">
        <x:f>IF(G44=0,0,J44/G44)</x:f>
        <x:v>0</x:v>
      </x:c>
      <x:c r="L44" s="343" t="n">
        <x:f>IF(D44="",0,J44-I44*'Assumptions'!$B$11)</x:f>
        <x:v>0</x:v>
      </x:c>
      <x:c r="M44" s="80"/>
      <x:c r="N44" s="81"/>
    </x:row>
    <x:row r="45">
      <x:c r="A45" s="325"/>
      <x:c r="B45" s="328"/>
      <x:c r="C45" s="75"/>
      <x:c r="D45" s="81"/>
      <x:c r="E45" s="93" t="n">
        <x:f>IFERROR(VLOOKUP(D45,'Assumptions'!$A$19:$C$23,3,FALSE),0)</x:f>
        <x:v>0</x:v>
      </x:c>
      <x:c r="F45" s="94"/>
      <x:c r="G45" s="93" t="n">
        <x:f>IF(D45="",0,E45+F45)</x:f>
        <x:v>0</x:v>
      </x:c>
      <x:c r="H45" s="98" t="n">
        <x:f>IFERROR(VLOOKUP(D45,'Assumptions'!$A$19:$C$23,2,FALSE),0)</x:f>
        <x:v>0</x:v>
      </x:c>
      <x:c r="I45" s="93" t="n">
        <x:f>IF(D45="",0,H45*'Assumptions'!$B$10)</x:f>
        <x:v>0</x:v>
      </x:c>
      <x:c r="J45" s="337" t="n">
        <x:f>IF(D45="",0,G45-I45)</x:f>
        <x:v>0</x:v>
      </x:c>
      <x:c r="K45" s="331" t="n">
        <x:f>IF(G45=0,0,J45/G45)</x:f>
        <x:v>0</x:v>
      </x:c>
      <x:c r="L45" s="343" t="n">
        <x:f>IF(D45="",0,J45-I45*'Assumptions'!$B$11)</x:f>
        <x:v>0</x:v>
      </x:c>
      <x:c r="M45" s="80"/>
      <x:c r="N45" s="81"/>
    </x:row>
    <x:row r="46">
      <x:c r="A46" s="325"/>
      <x:c r="B46" s="328"/>
      <x:c r="C46" s="75"/>
      <x:c r="D46" s="81"/>
      <x:c r="E46" s="93" t="n">
        <x:f>IFERROR(VLOOKUP(D46,'Assumptions'!$A$19:$C$23,3,FALSE),0)</x:f>
        <x:v>0</x:v>
      </x:c>
      <x:c r="F46" s="94"/>
      <x:c r="G46" s="93" t="n">
        <x:f>IF(D46="",0,E46+F46)</x:f>
        <x:v>0</x:v>
      </x:c>
      <x:c r="H46" s="98" t="n">
        <x:f>IFERROR(VLOOKUP(D46,'Assumptions'!$A$19:$C$23,2,FALSE),0)</x:f>
        <x:v>0</x:v>
      </x:c>
      <x:c r="I46" s="93" t="n">
        <x:f>IF(D46="",0,H46*'Assumptions'!$B$10)</x:f>
        <x:v>0</x:v>
      </x:c>
      <x:c r="J46" s="337" t="n">
        <x:f>IF(D46="",0,G46-I46)</x:f>
        <x:v>0</x:v>
      </x:c>
      <x:c r="K46" s="331" t="n">
        <x:f>IF(G46=0,0,J46/G46)</x:f>
        <x:v>0</x:v>
      </x:c>
      <x:c r="L46" s="343" t="n">
        <x:f>IF(D46="",0,J46-I46*'Assumptions'!$B$11)</x:f>
        <x:v>0</x:v>
      </x:c>
      <x:c r="M46" s="80"/>
      <x:c r="N46" s="81"/>
    </x:row>
    <x:row r="47">
      <x:c r="A47" s="325"/>
      <x:c r="B47" s="328"/>
      <x:c r="C47" s="75"/>
      <x:c r="D47" s="81"/>
      <x:c r="E47" s="93" t="n">
        <x:f>IFERROR(VLOOKUP(D47,'Assumptions'!$A$19:$C$23,3,FALSE),0)</x:f>
        <x:v>0</x:v>
      </x:c>
      <x:c r="F47" s="94"/>
      <x:c r="G47" s="93" t="n">
        <x:f>IF(D47="",0,E47+F47)</x:f>
        <x:v>0</x:v>
      </x:c>
      <x:c r="H47" s="98" t="n">
        <x:f>IFERROR(VLOOKUP(D47,'Assumptions'!$A$19:$C$23,2,FALSE),0)</x:f>
        <x:v>0</x:v>
      </x:c>
      <x:c r="I47" s="93" t="n">
        <x:f>IF(D47="",0,H47*'Assumptions'!$B$10)</x:f>
        <x:v>0</x:v>
      </x:c>
      <x:c r="J47" s="337" t="n">
        <x:f>IF(D47="",0,G47-I47)</x:f>
        <x:v>0</x:v>
      </x:c>
      <x:c r="K47" s="331" t="n">
        <x:f>IF(G47=0,0,J47/G47)</x:f>
        <x:v>0</x:v>
      </x:c>
      <x:c r="L47" s="343" t="n">
        <x:f>IF(D47="",0,J47-I47*'Assumptions'!$B$11)</x:f>
        <x:v>0</x:v>
      </x:c>
      <x:c r="M47" s="80"/>
      <x:c r="N47" s="81"/>
    </x:row>
    <x:row r="48">
      <x:c r="A48" s="325"/>
      <x:c r="B48" s="328"/>
      <x:c r="C48" s="75"/>
      <x:c r="D48" s="81"/>
      <x:c r="E48" s="93" t="n">
        <x:f>IFERROR(VLOOKUP(D48,'Assumptions'!$A$19:$C$23,3,FALSE),0)</x:f>
        <x:v>0</x:v>
      </x:c>
      <x:c r="F48" s="94"/>
      <x:c r="G48" s="93" t="n">
        <x:f>IF(D48="",0,E48+F48)</x:f>
        <x:v>0</x:v>
      </x:c>
      <x:c r="H48" s="98" t="n">
        <x:f>IFERROR(VLOOKUP(D48,'Assumptions'!$A$19:$C$23,2,FALSE),0)</x:f>
        <x:v>0</x:v>
      </x:c>
      <x:c r="I48" s="93" t="n">
        <x:f>IF(D48="",0,H48*'Assumptions'!$B$10)</x:f>
        <x:v>0</x:v>
      </x:c>
      <x:c r="J48" s="337" t="n">
        <x:f>IF(D48="",0,G48-I48)</x:f>
        <x:v>0</x:v>
      </x:c>
      <x:c r="K48" s="331" t="n">
        <x:f>IF(G48=0,0,J48/G48)</x:f>
        <x:v>0</x:v>
      </x:c>
      <x:c r="L48" s="343" t="n">
        <x:f>IF(D48="",0,J48-I48*'Assumptions'!$B$11)</x:f>
        <x:v>0</x:v>
      </x:c>
      <x:c r="M48" s="80"/>
      <x:c r="N48" s="81"/>
    </x:row>
    <x:row r="49">
      <x:c r="A49" s="325"/>
      <x:c r="B49" s="328"/>
      <x:c r="C49" s="75"/>
      <x:c r="D49" s="81"/>
      <x:c r="E49" s="93" t="n">
        <x:f>IFERROR(VLOOKUP(D49,'Assumptions'!$A$19:$C$23,3,FALSE),0)</x:f>
        <x:v>0</x:v>
      </x:c>
      <x:c r="F49" s="94"/>
      <x:c r="G49" s="93" t="n">
        <x:f>IF(D49="",0,E49+F49)</x:f>
        <x:v>0</x:v>
      </x:c>
      <x:c r="H49" s="98" t="n">
        <x:f>IFERROR(VLOOKUP(D49,'Assumptions'!$A$19:$C$23,2,FALSE),0)</x:f>
        <x:v>0</x:v>
      </x:c>
      <x:c r="I49" s="93" t="n">
        <x:f>IF(D49="",0,H49*'Assumptions'!$B$10)</x:f>
        <x:v>0</x:v>
      </x:c>
      <x:c r="J49" s="337" t="n">
        <x:f>IF(D49="",0,G49-I49)</x:f>
        <x:v>0</x:v>
      </x:c>
      <x:c r="K49" s="331" t="n">
        <x:f>IF(G49=0,0,J49/G49)</x:f>
        <x:v>0</x:v>
      </x:c>
      <x:c r="L49" s="343" t="n">
        <x:f>IF(D49="",0,J49-I49*'Assumptions'!$B$11)</x:f>
        <x:v>0</x:v>
      </x:c>
      <x:c r="M49" s="80"/>
      <x:c r="N49" s="81"/>
    </x:row>
    <x:row r="50">
      <x:c r="A50" s="325"/>
      <x:c r="B50" s="328"/>
      <x:c r="C50" s="75"/>
      <x:c r="D50" s="81"/>
      <x:c r="E50" s="93" t="n">
        <x:f>IFERROR(VLOOKUP(D50,'Assumptions'!$A$19:$C$23,3,FALSE),0)</x:f>
        <x:v>0</x:v>
      </x:c>
      <x:c r="F50" s="94"/>
      <x:c r="G50" s="93" t="n">
        <x:f>IF(D50="",0,E50+F50)</x:f>
        <x:v>0</x:v>
      </x:c>
      <x:c r="H50" s="98" t="n">
        <x:f>IFERROR(VLOOKUP(D50,'Assumptions'!$A$19:$C$23,2,FALSE),0)</x:f>
        <x:v>0</x:v>
      </x:c>
      <x:c r="I50" s="93" t="n">
        <x:f>IF(D50="",0,H50*'Assumptions'!$B$10)</x:f>
        <x:v>0</x:v>
      </x:c>
      <x:c r="J50" s="337" t="n">
        <x:f>IF(D50="",0,G50-I50)</x:f>
        <x:v>0</x:v>
      </x:c>
      <x:c r="K50" s="331" t="n">
        <x:f>IF(G50=0,0,J50/G50)</x:f>
        <x:v>0</x:v>
      </x:c>
      <x:c r="L50" s="343" t="n">
        <x:f>IF(D50="",0,J50-I50*'Assumptions'!$B$11)</x:f>
        <x:v>0</x:v>
      </x:c>
      <x:c r="M50" s="80"/>
      <x:c r="N50" s="81"/>
    </x:row>
    <x:row r="51">
      <x:c r="A51" s="325"/>
      <x:c r="B51" s="328"/>
      <x:c r="C51" s="75"/>
      <x:c r="D51" s="81"/>
      <x:c r="E51" s="93" t="n">
        <x:f>IFERROR(VLOOKUP(D51,'Assumptions'!$A$19:$C$23,3,FALSE),0)</x:f>
        <x:v>0</x:v>
      </x:c>
      <x:c r="F51" s="94"/>
      <x:c r="G51" s="93" t="n">
        <x:f>IF(D51="",0,E51+F51)</x:f>
        <x:v>0</x:v>
      </x:c>
      <x:c r="H51" s="98" t="n">
        <x:f>IFERROR(VLOOKUP(D51,'Assumptions'!$A$19:$C$23,2,FALSE),0)</x:f>
        <x:v>0</x:v>
      </x:c>
      <x:c r="I51" s="93" t="n">
        <x:f>IF(D51="",0,H51*'Assumptions'!$B$10)</x:f>
        <x:v>0</x:v>
      </x:c>
      <x:c r="J51" s="337" t="n">
        <x:f>IF(D51="",0,G51-I51)</x:f>
        <x:v>0</x:v>
      </x:c>
      <x:c r="K51" s="331" t="n">
        <x:f>IF(G51=0,0,J51/G51)</x:f>
        <x:v>0</x:v>
      </x:c>
      <x:c r="L51" s="343" t="n">
        <x:f>IF(D51="",0,J51-I51*'Assumptions'!$B$11)</x:f>
        <x:v>0</x:v>
      </x:c>
      <x:c r="M51" s="80"/>
      <x:c r="N51" s="81"/>
    </x:row>
    <x:row r="52">
      <x:c r="A52" s="325"/>
      <x:c r="B52" s="328"/>
      <x:c r="C52" s="75"/>
      <x:c r="D52" s="81"/>
      <x:c r="E52" s="93" t="n">
        <x:f>IFERROR(VLOOKUP(D52,'Assumptions'!$A$19:$C$23,3,FALSE),0)</x:f>
        <x:v>0</x:v>
      </x:c>
      <x:c r="F52" s="94"/>
      <x:c r="G52" s="93" t="n">
        <x:f>IF(D52="",0,E52+F52)</x:f>
        <x:v>0</x:v>
      </x:c>
      <x:c r="H52" s="98" t="n">
        <x:f>IFERROR(VLOOKUP(D52,'Assumptions'!$A$19:$C$23,2,FALSE),0)</x:f>
        <x:v>0</x:v>
      </x:c>
      <x:c r="I52" s="93" t="n">
        <x:f>IF(D52="",0,H52*'Assumptions'!$B$10)</x:f>
        <x:v>0</x:v>
      </x:c>
      <x:c r="J52" s="337" t="n">
        <x:f>IF(D52="",0,G52-I52)</x:f>
        <x:v>0</x:v>
      </x:c>
      <x:c r="K52" s="331" t="n">
        <x:f>IF(G52=0,0,J52/G52)</x:f>
        <x:v>0</x:v>
      </x:c>
      <x:c r="L52" s="343" t="n">
        <x:f>IF(D52="",0,J52-I52*'Assumptions'!$B$11)</x:f>
        <x:v>0</x:v>
      </x:c>
      <x:c r="M52" s="80"/>
      <x:c r="N52" s="81"/>
    </x:row>
    <x:row r="53">
      <x:c r="A53" s="325"/>
      <x:c r="B53" s="328"/>
      <x:c r="C53" s="75"/>
      <x:c r="D53" s="81"/>
      <x:c r="E53" s="93" t="n">
        <x:f>IFERROR(VLOOKUP(D53,'Assumptions'!$A$19:$C$23,3,FALSE),0)</x:f>
        <x:v>0</x:v>
      </x:c>
      <x:c r="F53" s="94"/>
      <x:c r="G53" s="93" t="n">
        <x:f>IF(D53="",0,E53+F53)</x:f>
        <x:v>0</x:v>
      </x:c>
      <x:c r="H53" s="98" t="n">
        <x:f>IFERROR(VLOOKUP(D53,'Assumptions'!$A$19:$C$23,2,FALSE),0)</x:f>
        <x:v>0</x:v>
      </x:c>
      <x:c r="I53" s="93" t="n">
        <x:f>IF(D53="",0,H53*'Assumptions'!$B$10)</x:f>
        <x:v>0</x:v>
      </x:c>
      <x:c r="J53" s="337" t="n">
        <x:f>IF(D53="",0,G53-I53)</x:f>
        <x:v>0</x:v>
      </x:c>
      <x:c r="K53" s="331" t="n">
        <x:f>IF(G53=0,0,J53/G53)</x:f>
        <x:v>0</x:v>
      </x:c>
      <x:c r="L53" s="343" t="n">
        <x:f>IF(D53="",0,J53-I53*'Assumptions'!$B$11)</x:f>
        <x:v>0</x:v>
      </x:c>
      <x:c r="M53" s="80"/>
      <x:c r="N53" s="81"/>
    </x:row>
    <x:row r="54">
      <x:c r="A54" s="325"/>
      <x:c r="B54" s="328"/>
      <x:c r="C54" s="75"/>
      <x:c r="D54" s="81"/>
      <x:c r="E54" s="93" t="n">
        <x:f>IFERROR(VLOOKUP(D54,'Assumptions'!$A$19:$C$23,3,FALSE),0)</x:f>
        <x:v>0</x:v>
      </x:c>
      <x:c r="F54" s="94"/>
      <x:c r="G54" s="93" t="n">
        <x:f>IF(D54="",0,E54+F54)</x:f>
        <x:v>0</x:v>
      </x:c>
      <x:c r="H54" s="98" t="n">
        <x:f>IFERROR(VLOOKUP(D54,'Assumptions'!$A$19:$C$23,2,FALSE),0)</x:f>
        <x:v>0</x:v>
      </x:c>
      <x:c r="I54" s="93" t="n">
        <x:f>IF(D54="",0,H54*'Assumptions'!$B$10)</x:f>
        <x:v>0</x:v>
      </x:c>
      <x:c r="J54" s="337" t="n">
        <x:f>IF(D54="",0,G54-I54)</x:f>
        <x:v>0</x:v>
      </x:c>
      <x:c r="K54" s="331" t="n">
        <x:f>IF(G54=0,0,J54/G54)</x:f>
        <x:v>0</x:v>
      </x:c>
      <x:c r="L54" s="343" t="n">
        <x:f>IF(D54="",0,J54-I54*'Assumptions'!$B$11)</x:f>
        <x:v>0</x:v>
      </x:c>
      <x:c r="M54" s="80"/>
      <x:c r="N54" s="81"/>
    </x:row>
    <x:row r="55">
      <x:c r="A55" s="325"/>
      <x:c r="B55" s="328"/>
      <x:c r="C55" s="75"/>
      <x:c r="D55" s="81"/>
      <x:c r="E55" s="93" t="n">
        <x:f>IFERROR(VLOOKUP(D55,'Assumptions'!$A$19:$C$23,3,FALSE),0)</x:f>
        <x:v>0</x:v>
      </x:c>
      <x:c r="F55" s="94"/>
      <x:c r="G55" s="93" t="n">
        <x:f>IF(D55="",0,E55+F55)</x:f>
        <x:v>0</x:v>
      </x:c>
      <x:c r="H55" s="98" t="n">
        <x:f>IFERROR(VLOOKUP(D55,'Assumptions'!$A$19:$C$23,2,FALSE),0)</x:f>
        <x:v>0</x:v>
      </x:c>
      <x:c r="I55" s="93" t="n">
        <x:f>IF(D55="",0,H55*'Assumptions'!$B$10)</x:f>
        <x:v>0</x:v>
      </x:c>
      <x:c r="J55" s="337" t="n">
        <x:f>IF(D55="",0,G55-I55)</x:f>
        <x:v>0</x:v>
      </x:c>
      <x:c r="K55" s="331" t="n">
        <x:f>IF(G55=0,0,J55/G55)</x:f>
        <x:v>0</x:v>
      </x:c>
      <x:c r="L55" s="343" t="n">
        <x:f>IF(D55="",0,J55-I55*'Assumptions'!$B$11)</x:f>
        <x:v>0</x:v>
      </x:c>
      <x:c r="M55" s="80"/>
      <x:c r="N55" s="81"/>
    </x:row>
    <x:row r="56">
      <x:c r="A56" s="325"/>
      <x:c r="B56" s="328"/>
      <x:c r="C56" s="75"/>
      <x:c r="D56" s="81"/>
      <x:c r="E56" s="93" t="n">
        <x:f>IFERROR(VLOOKUP(D56,'Assumptions'!$A$19:$C$23,3,FALSE),0)</x:f>
        <x:v>0</x:v>
      </x:c>
      <x:c r="F56" s="94"/>
      <x:c r="G56" s="93" t="n">
        <x:f>IF(D56="",0,E56+F56)</x:f>
        <x:v>0</x:v>
      </x:c>
      <x:c r="H56" s="98" t="n">
        <x:f>IFERROR(VLOOKUP(D56,'Assumptions'!$A$19:$C$23,2,FALSE),0)</x:f>
        <x:v>0</x:v>
      </x:c>
      <x:c r="I56" s="93" t="n">
        <x:f>IF(D56="",0,H56*'Assumptions'!$B$10)</x:f>
        <x:v>0</x:v>
      </x:c>
      <x:c r="J56" s="337" t="n">
        <x:f>IF(D56="",0,G56-I56)</x:f>
        <x:v>0</x:v>
      </x:c>
      <x:c r="K56" s="331" t="n">
        <x:f>IF(G56=0,0,J56/G56)</x:f>
        <x:v>0</x:v>
      </x:c>
      <x:c r="L56" s="343" t="n">
        <x:f>IF(D56="",0,J56-I56*'Assumptions'!$B$11)</x:f>
        <x:v>0</x:v>
      </x:c>
      <x:c r="M56" s="80"/>
      <x:c r="N56" s="81"/>
    </x:row>
    <x:row r="57">
      <x:c r="A57" s="325"/>
      <x:c r="B57" s="328"/>
      <x:c r="C57" s="75"/>
      <x:c r="D57" s="81"/>
      <x:c r="E57" s="93" t="n">
        <x:f>IFERROR(VLOOKUP(D57,'Assumptions'!$A$19:$C$23,3,FALSE),0)</x:f>
        <x:v>0</x:v>
      </x:c>
      <x:c r="F57" s="94"/>
      <x:c r="G57" s="93" t="n">
        <x:f>IF(D57="",0,E57+F57)</x:f>
        <x:v>0</x:v>
      </x:c>
      <x:c r="H57" s="98" t="n">
        <x:f>IFERROR(VLOOKUP(D57,'Assumptions'!$A$19:$C$23,2,FALSE),0)</x:f>
        <x:v>0</x:v>
      </x:c>
      <x:c r="I57" s="93" t="n">
        <x:f>IF(D57="",0,H57*'Assumptions'!$B$10)</x:f>
        <x:v>0</x:v>
      </x:c>
      <x:c r="J57" s="337" t="n">
        <x:f>IF(D57="",0,G57-I57)</x:f>
        <x:v>0</x:v>
      </x:c>
      <x:c r="K57" s="331" t="n">
        <x:f>IF(G57=0,0,J57/G57)</x:f>
        <x:v>0</x:v>
      </x:c>
      <x:c r="L57" s="343" t="n">
        <x:f>IF(D57="",0,J57-I57*'Assumptions'!$B$11)</x:f>
        <x:v>0</x:v>
      </x:c>
      <x:c r="M57" s="80"/>
      <x:c r="N57" s="81"/>
    </x:row>
    <x:row r="58">
      <x:c r="A58" s="325"/>
      <x:c r="B58" s="328"/>
      <x:c r="C58" s="75"/>
      <x:c r="D58" s="81"/>
      <x:c r="E58" s="93" t="n">
        <x:f>IFERROR(VLOOKUP(D58,'Assumptions'!$A$19:$C$23,3,FALSE),0)</x:f>
        <x:v>0</x:v>
      </x:c>
      <x:c r="F58" s="94"/>
      <x:c r="G58" s="93" t="n">
        <x:f>IF(D58="",0,E58+F58)</x:f>
        <x:v>0</x:v>
      </x:c>
      <x:c r="H58" s="98" t="n">
        <x:f>IFERROR(VLOOKUP(D58,'Assumptions'!$A$19:$C$23,2,FALSE),0)</x:f>
        <x:v>0</x:v>
      </x:c>
      <x:c r="I58" s="93" t="n">
        <x:f>IF(D58="",0,H58*'Assumptions'!$B$10)</x:f>
        <x:v>0</x:v>
      </x:c>
      <x:c r="J58" s="337" t="n">
        <x:f>IF(D58="",0,G58-I58)</x:f>
        <x:v>0</x:v>
      </x:c>
      <x:c r="K58" s="331" t="n">
        <x:f>IF(G58=0,0,J58/G58)</x:f>
        <x:v>0</x:v>
      </x:c>
      <x:c r="L58" s="343" t="n">
        <x:f>IF(D58="",0,J58-I58*'Assumptions'!$B$11)</x:f>
        <x:v>0</x:v>
      </x:c>
      <x:c r="M58" s="80"/>
      <x:c r="N58" s="81"/>
    </x:row>
    <x:row r="59">
      <x:c r="A59" s="325"/>
      <x:c r="B59" s="328"/>
      <x:c r="C59" s="75"/>
      <x:c r="D59" s="81"/>
      <x:c r="E59" s="93" t="n">
        <x:f>IFERROR(VLOOKUP(D59,'Assumptions'!$A$19:$C$23,3,FALSE),0)</x:f>
        <x:v>0</x:v>
      </x:c>
      <x:c r="F59" s="94"/>
      <x:c r="G59" s="93" t="n">
        <x:f>IF(D59="",0,E59+F59)</x:f>
        <x:v>0</x:v>
      </x:c>
      <x:c r="H59" s="98" t="n">
        <x:f>IFERROR(VLOOKUP(D59,'Assumptions'!$A$19:$C$23,2,FALSE),0)</x:f>
        <x:v>0</x:v>
      </x:c>
      <x:c r="I59" s="93" t="n">
        <x:f>IF(D59="",0,H59*'Assumptions'!$B$10)</x:f>
        <x:v>0</x:v>
      </x:c>
      <x:c r="J59" s="337" t="n">
        <x:f>IF(D59="",0,G59-I59)</x:f>
        <x:v>0</x:v>
      </x:c>
      <x:c r="K59" s="331" t="n">
        <x:f>IF(G59=0,0,J59/G59)</x:f>
        <x:v>0</x:v>
      </x:c>
      <x:c r="L59" s="343" t="n">
        <x:f>IF(D59="",0,J59-I59*'Assumptions'!$B$11)</x:f>
        <x:v>0</x:v>
      </x:c>
      <x:c r="M59" s="80"/>
      <x:c r="N59" s="81"/>
    </x:row>
    <x:row r="60">
      <x:c r="A60" s="325"/>
      <x:c r="B60" s="328"/>
      <x:c r="C60" s="75"/>
      <x:c r="D60" s="81"/>
      <x:c r="E60" s="93" t="n">
        <x:f>IFERROR(VLOOKUP(D60,'Assumptions'!$A$19:$C$23,3,FALSE),0)</x:f>
        <x:v>0</x:v>
      </x:c>
      <x:c r="F60" s="94"/>
      <x:c r="G60" s="93" t="n">
        <x:f>IF(D60="",0,E60+F60)</x:f>
        <x:v>0</x:v>
      </x:c>
      <x:c r="H60" s="98" t="n">
        <x:f>IFERROR(VLOOKUP(D60,'Assumptions'!$A$19:$C$23,2,FALSE),0)</x:f>
        <x:v>0</x:v>
      </x:c>
      <x:c r="I60" s="93" t="n">
        <x:f>IF(D60="",0,H60*'Assumptions'!$B$10)</x:f>
        <x:v>0</x:v>
      </x:c>
      <x:c r="J60" s="337" t="n">
        <x:f>IF(D60="",0,G60-I60)</x:f>
        <x:v>0</x:v>
      </x:c>
      <x:c r="K60" s="331" t="n">
        <x:f>IF(G60=0,0,J60/G60)</x:f>
        <x:v>0</x:v>
      </x:c>
      <x:c r="L60" s="343" t="n">
        <x:f>IF(D60="",0,J60-I60*'Assumptions'!$B$11)</x:f>
        <x:v>0</x:v>
      </x:c>
      <x:c r="M60" s="80"/>
      <x:c r="N60" s="81"/>
    </x:row>
    <x:row r="61">
      <x:c r="A61" s="325"/>
      <x:c r="B61" s="328"/>
      <x:c r="C61" s="75"/>
      <x:c r="D61" s="81"/>
      <x:c r="E61" s="93" t="n">
        <x:f>IFERROR(VLOOKUP(D61,'Assumptions'!$A$19:$C$23,3,FALSE),0)</x:f>
        <x:v>0</x:v>
      </x:c>
      <x:c r="F61" s="94"/>
      <x:c r="G61" s="93" t="n">
        <x:f>IF(D61="",0,E61+F61)</x:f>
        <x:v>0</x:v>
      </x:c>
      <x:c r="H61" s="98" t="n">
        <x:f>IFERROR(VLOOKUP(D61,'Assumptions'!$A$19:$C$23,2,FALSE),0)</x:f>
        <x:v>0</x:v>
      </x:c>
      <x:c r="I61" s="93" t="n">
        <x:f>IF(D61="",0,H61*'Assumptions'!$B$10)</x:f>
        <x:v>0</x:v>
      </x:c>
      <x:c r="J61" s="337" t="n">
        <x:f>IF(D61="",0,G61-I61)</x:f>
        <x:v>0</x:v>
      </x:c>
      <x:c r="K61" s="331" t="n">
        <x:f>IF(G61=0,0,J61/G61)</x:f>
        <x:v>0</x:v>
      </x:c>
      <x:c r="L61" s="343" t="n">
        <x:f>IF(D61="",0,J61-I61*'Assumptions'!$B$11)</x:f>
        <x:v>0</x:v>
      </x:c>
      <x:c r="M61" s="80"/>
      <x:c r="N61" s="81"/>
    </x:row>
    <x:row r="62">
      <x:c r="A62" s="325"/>
      <x:c r="B62" s="328"/>
      <x:c r="C62" s="75"/>
      <x:c r="D62" s="81"/>
      <x:c r="E62" s="93" t="n">
        <x:f>IFERROR(VLOOKUP(D62,'Assumptions'!$A$19:$C$23,3,FALSE),0)</x:f>
        <x:v>0</x:v>
      </x:c>
      <x:c r="F62" s="94"/>
      <x:c r="G62" s="93" t="n">
        <x:f>IF(D62="",0,E62+F62)</x:f>
        <x:v>0</x:v>
      </x:c>
      <x:c r="H62" s="98" t="n">
        <x:f>IFERROR(VLOOKUP(D62,'Assumptions'!$A$19:$C$23,2,FALSE),0)</x:f>
        <x:v>0</x:v>
      </x:c>
      <x:c r="I62" s="93" t="n">
        <x:f>IF(D62="",0,H62*'Assumptions'!$B$10)</x:f>
        <x:v>0</x:v>
      </x:c>
      <x:c r="J62" s="337" t="n">
        <x:f>IF(D62="",0,G62-I62)</x:f>
        <x:v>0</x:v>
      </x:c>
      <x:c r="K62" s="331" t="n">
        <x:f>IF(G62=0,0,J62/G62)</x:f>
        <x:v>0</x:v>
      </x:c>
      <x:c r="L62" s="343" t="n">
        <x:f>IF(D62="",0,J62-I62*'Assumptions'!$B$11)</x:f>
        <x:v>0</x:v>
      </x:c>
      <x:c r="M62" s="80"/>
      <x:c r="N62" s="81"/>
    </x:row>
    <x:row r="63">
      <x:c r="A63" s="325"/>
      <x:c r="B63" s="328"/>
      <x:c r="C63" s="75"/>
      <x:c r="D63" s="81"/>
      <x:c r="E63" s="93" t="n">
        <x:f>IFERROR(VLOOKUP(D63,'Assumptions'!$A$19:$C$23,3,FALSE),0)</x:f>
        <x:v>0</x:v>
      </x:c>
      <x:c r="F63" s="94"/>
      <x:c r="G63" s="93" t="n">
        <x:f>IF(D63="",0,E63+F63)</x:f>
        <x:v>0</x:v>
      </x:c>
      <x:c r="H63" s="98" t="n">
        <x:f>IFERROR(VLOOKUP(D63,'Assumptions'!$A$19:$C$23,2,FALSE),0)</x:f>
        <x:v>0</x:v>
      </x:c>
      <x:c r="I63" s="93" t="n">
        <x:f>IF(D63="",0,H63*'Assumptions'!$B$10)</x:f>
        <x:v>0</x:v>
      </x:c>
      <x:c r="J63" s="337" t="n">
        <x:f>IF(D63="",0,G63-I63)</x:f>
        <x:v>0</x:v>
      </x:c>
      <x:c r="K63" s="331" t="n">
        <x:f>IF(G63=0,0,J63/G63)</x:f>
        <x:v>0</x:v>
      </x:c>
      <x:c r="L63" s="343" t="n">
        <x:f>IF(D63="",0,J63-I63*'Assumptions'!$B$11)</x:f>
        <x:v>0</x:v>
      </x:c>
      <x:c r="M63" s="80"/>
      <x:c r="N63" s="81"/>
    </x:row>
    <x:row r="64">
      <x:c r="A64" s="325"/>
      <x:c r="B64" s="328"/>
      <x:c r="C64" s="75"/>
      <x:c r="D64" s="81"/>
      <x:c r="E64" s="93" t="n">
        <x:f>IFERROR(VLOOKUP(D64,'Assumptions'!$A$19:$C$23,3,FALSE),0)</x:f>
        <x:v>0</x:v>
      </x:c>
      <x:c r="F64" s="94"/>
      <x:c r="G64" s="93" t="n">
        <x:f>IF(D64="",0,E64+F64)</x:f>
        <x:v>0</x:v>
      </x:c>
      <x:c r="H64" s="98" t="n">
        <x:f>IFERROR(VLOOKUP(D64,'Assumptions'!$A$19:$C$23,2,FALSE),0)</x:f>
        <x:v>0</x:v>
      </x:c>
      <x:c r="I64" s="93" t="n">
        <x:f>IF(D64="",0,H64*'Assumptions'!$B$10)</x:f>
        <x:v>0</x:v>
      </x:c>
      <x:c r="J64" s="337" t="n">
        <x:f>IF(D64="",0,G64-I64)</x:f>
        <x:v>0</x:v>
      </x:c>
      <x:c r="K64" s="331" t="n">
        <x:f>IF(G64=0,0,J64/G64)</x:f>
        <x:v>0</x:v>
      </x:c>
      <x:c r="L64" s="343" t="n">
        <x:f>IF(D64="",0,J64-I64*'Assumptions'!$B$11)</x:f>
        <x:v>0</x:v>
      </x:c>
      <x:c r="M64" s="80"/>
      <x:c r="N64" s="81"/>
    </x:row>
    <x:row r="65">
      <x:c r="A65" s="325"/>
      <x:c r="B65" s="328"/>
      <x:c r="C65" s="75"/>
      <x:c r="D65" s="81"/>
      <x:c r="E65" s="93" t="n">
        <x:f>IFERROR(VLOOKUP(D65,'Assumptions'!$A$19:$C$23,3,FALSE),0)</x:f>
        <x:v>0</x:v>
      </x:c>
      <x:c r="F65" s="94"/>
      <x:c r="G65" s="93" t="n">
        <x:f>IF(D65="",0,E65+F65)</x:f>
        <x:v>0</x:v>
      </x:c>
      <x:c r="H65" s="98" t="n">
        <x:f>IFERROR(VLOOKUP(D65,'Assumptions'!$A$19:$C$23,2,FALSE),0)</x:f>
        <x:v>0</x:v>
      </x:c>
      <x:c r="I65" s="93" t="n">
        <x:f>IF(D65="",0,H65*'Assumptions'!$B$10)</x:f>
        <x:v>0</x:v>
      </x:c>
      <x:c r="J65" s="337" t="n">
        <x:f>IF(D65="",0,G65-I65)</x:f>
        <x:v>0</x:v>
      </x:c>
      <x:c r="K65" s="331" t="n">
        <x:f>IF(G65=0,0,J65/G65)</x:f>
        <x:v>0</x:v>
      </x:c>
      <x:c r="L65" s="343" t="n">
        <x:f>IF(D65="",0,J65-I65*'Assumptions'!$B$11)</x:f>
        <x:v>0</x:v>
      </x:c>
      <x:c r="M65" s="80"/>
      <x:c r="N65" s="81"/>
    </x:row>
    <x:row r="66">
      <x:c r="A66" s="325"/>
      <x:c r="B66" s="328"/>
      <x:c r="C66" s="75"/>
      <x:c r="D66" s="81"/>
      <x:c r="E66" s="93" t="n">
        <x:f>IFERROR(VLOOKUP(D66,'Assumptions'!$A$19:$C$23,3,FALSE),0)</x:f>
        <x:v>0</x:v>
      </x:c>
      <x:c r="F66" s="94"/>
      <x:c r="G66" s="93" t="n">
        <x:f>IF(D66="",0,E66+F66)</x:f>
        <x:v>0</x:v>
      </x:c>
      <x:c r="H66" s="98" t="n">
        <x:f>IFERROR(VLOOKUP(D66,'Assumptions'!$A$19:$C$23,2,FALSE),0)</x:f>
        <x:v>0</x:v>
      </x:c>
      <x:c r="I66" s="93" t="n">
        <x:f>IF(D66="",0,H66*'Assumptions'!$B$10)</x:f>
        <x:v>0</x:v>
      </x:c>
      <x:c r="J66" s="337" t="n">
        <x:f>IF(D66="",0,G66-I66)</x:f>
        <x:v>0</x:v>
      </x:c>
      <x:c r="K66" s="331" t="n">
        <x:f>IF(G66=0,0,J66/G66)</x:f>
        <x:v>0</x:v>
      </x:c>
      <x:c r="L66" s="343" t="n">
        <x:f>IF(D66="",0,J66-I66*'Assumptions'!$B$11)</x:f>
        <x:v>0</x:v>
      </x:c>
      <x:c r="M66" s="80"/>
      <x:c r="N66" s="81"/>
    </x:row>
    <x:row r="67">
      <x:c r="A67" s="325"/>
      <x:c r="B67" s="328"/>
      <x:c r="C67" s="75"/>
      <x:c r="D67" s="81"/>
      <x:c r="E67" s="93" t="n">
        <x:f>IFERROR(VLOOKUP(D67,'Assumptions'!$A$19:$C$23,3,FALSE),0)</x:f>
        <x:v>0</x:v>
      </x:c>
      <x:c r="F67" s="94"/>
      <x:c r="G67" s="93" t="n">
        <x:f>IF(D67="",0,E67+F67)</x:f>
        <x:v>0</x:v>
      </x:c>
      <x:c r="H67" s="98" t="n">
        <x:f>IFERROR(VLOOKUP(D67,'Assumptions'!$A$19:$C$23,2,FALSE),0)</x:f>
        <x:v>0</x:v>
      </x:c>
      <x:c r="I67" s="93" t="n">
        <x:f>IF(D67="",0,H67*'Assumptions'!$B$10)</x:f>
        <x:v>0</x:v>
      </x:c>
      <x:c r="J67" s="337" t="n">
        <x:f>IF(D67="",0,G67-I67)</x:f>
        <x:v>0</x:v>
      </x:c>
      <x:c r="K67" s="331" t="n">
        <x:f>IF(G67=0,0,J67/G67)</x:f>
        <x:v>0</x:v>
      </x:c>
      <x:c r="L67" s="343" t="n">
        <x:f>IF(D67="",0,J67-I67*'Assumptions'!$B$11)</x:f>
        <x:v>0</x:v>
      </x:c>
      <x:c r="M67" s="80"/>
      <x:c r="N67" s="81"/>
    </x:row>
    <x:row r="68">
      <x:c r="A68" s="325"/>
      <x:c r="B68" s="328"/>
      <x:c r="C68" s="75"/>
      <x:c r="D68" s="81"/>
      <x:c r="E68" s="93" t="n">
        <x:f>IFERROR(VLOOKUP(D68,'Assumptions'!$A$19:$C$23,3,FALSE),0)</x:f>
        <x:v>0</x:v>
      </x:c>
      <x:c r="F68" s="94"/>
      <x:c r="G68" s="93" t="n">
        <x:f>IF(D68="",0,E68+F68)</x:f>
        <x:v>0</x:v>
      </x:c>
      <x:c r="H68" s="98" t="n">
        <x:f>IFERROR(VLOOKUP(D68,'Assumptions'!$A$19:$C$23,2,FALSE),0)</x:f>
        <x:v>0</x:v>
      </x:c>
      <x:c r="I68" s="93" t="n">
        <x:f>IF(D68="",0,H68*'Assumptions'!$B$10)</x:f>
        <x:v>0</x:v>
      </x:c>
      <x:c r="J68" s="337" t="n">
        <x:f>IF(D68="",0,G68-I68)</x:f>
        <x:v>0</x:v>
      </x:c>
      <x:c r="K68" s="331" t="n">
        <x:f>IF(G68=0,0,J68/G68)</x:f>
        <x:v>0</x:v>
      </x:c>
      <x:c r="L68" s="343" t="n">
        <x:f>IF(D68="",0,J68-I68*'Assumptions'!$B$11)</x:f>
        <x:v>0</x:v>
      </x:c>
      <x:c r="M68" s="80"/>
      <x:c r="N68" s="81"/>
    </x:row>
    <x:row r="69">
      <x:c r="A69" s="325"/>
      <x:c r="B69" s="328"/>
      <x:c r="C69" s="75"/>
      <x:c r="D69" s="81"/>
      <x:c r="E69" s="93" t="n">
        <x:f>IFERROR(VLOOKUP(D69,'Assumptions'!$A$19:$C$23,3,FALSE),0)</x:f>
        <x:v>0</x:v>
      </x:c>
      <x:c r="F69" s="94"/>
      <x:c r="G69" s="93" t="n">
        <x:f>IF(D69="",0,E69+F69)</x:f>
        <x:v>0</x:v>
      </x:c>
      <x:c r="H69" s="98" t="n">
        <x:f>IFERROR(VLOOKUP(D69,'Assumptions'!$A$19:$C$23,2,FALSE),0)</x:f>
        <x:v>0</x:v>
      </x:c>
      <x:c r="I69" s="93" t="n">
        <x:f>IF(D69="",0,H69*'Assumptions'!$B$10)</x:f>
        <x:v>0</x:v>
      </x:c>
      <x:c r="J69" s="337" t="n">
        <x:f>IF(D69="",0,G69-I69)</x:f>
        <x:v>0</x:v>
      </x:c>
      <x:c r="K69" s="331" t="n">
        <x:f>IF(G69=0,0,J69/G69)</x:f>
        <x:v>0</x:v>
      </x:c>
      <x:c r="L69" s="343" t="n">
        <x:f>IF(D69="",0,J69-I69*'Assumptions'!$B$11)</x:f>
        <x:v>0</x:v>
      </x:c>
      <x:c r="M69" s="80"/>
      <x:c r="N69" s="81"/>
    </x:row>
    <x:row r="70">
      <x:c r="A70" s="325"/>
      <x:c r="B70" s="328"/>
      <x:c r="C70" s="75"/>
      <x:c r="D70" s="81"/>
      <x:c r="E70" s="93" t="n">
        <x:f>IFERROR(VLOOKUP(D70,'Assumptions'!$A$19:$C$23,3,FALSE),0)</x:f>
        <x:v>0</x:v>
      </x:c>
      <x:c r="F70" s="94"/>
      <x:c r="G70" s="93" t="n">
        <x:f>IF(D70="",0,E70+F70)</x:f>
        <x:v>0</x:v>
      </x:c>
      <x:c r="H70" s="98" t="n">
        <x:f>IFERROR(VLOOKUP(D70,'Assumptions'!$A$19:$C$23,2,FALSE),0)</x:f>
        <x:v>0</x:v>
      </x:c>
      <x:c r="I70" s="93" t="n">
        <x:f>IF(D70="",0,H70*'Assumptions'!$B$10)</x:f>
        <x:v>0</x:v>
      </x:c>
      <x:c r="J70" s="337" t="n">
        <x:f>IF(D70="",0,G70-I70)</x:f>
        <x:v>0</x:v>
      </x:c>
      <x:c r="K70" s="331" t="n">
        <x:f>IF(G70=0,0,J70/G70)</x:f>
        <x:v>0</x:v>
      </x:c>
      <x:c r="L70" s="343" t="n">
        <x:f>IF(D70="",0,J70-I70*'Assumptions'!$B$11)</x:f>
        <x:v>0</x:v>
      </x:c>
      <x:c r="M70" s="80"/>
      <x:c r="N70" s="81"/>
    </x:row>
    <x:row r="71">
      <x:c r="A71" s="325"/>
      <x:c r="B71" s="328"/>
      <x:c r="C71" s="75"/>
      <x:c r="D71" s="81"/>
      <x:c r="E71" s="93" t="n">
        <x:f>IFERROR(VLOOKUP(D71,'Assumptions'!$A$19:$C$23,3,FALSE),0)</x:f>
        <x:v>0</x:v>
      </x:c>
      <x:c r="F71" s="94"/>
      <x:c r="G71" s="93" t="n">
        <x:f>IF(D71="",0,E71+F71)</x:f>
        <x:v>0</x:v>
      </x:c>
      <x:c r="H71" s="98" t="n">
        <x:f>IFERROR(VLOOKUP(D71,'Assumptions'!$A$19:$C$23,2,FALSE),0)</x:f>
        <x:v>0</x:v>
      </x:c>
      <x:c r="I71" s="93" t="n">
        <x:f>IF(D71="",0,H71*'Assumptions'!$B$10)</x:f>
        <x:v>0</x:v>
      </x:c>
      <x:c r="J71" s="337" t="n">
        <x:f>IF(D71="",0,G71-I71)</x:f>
        <x:v>0</x:v>
      </x:c>
      <x:c r="K71" s="331" t="n">
        <x:f>IF(G71=0,0,J71/G71)</x:f>
        <x:v>0</x:v>
      </x:c>
      <x:c r="L71" s="343" t="n">
        <x:f>IF(D71="",0,J71-I71*'Assumptions'!$B$11)</x:f>
        <x:v>0</x:v>
      </x:c>
      <x:c r="M71" s="80"/>
      <x:c r="N71" s="81"/>
    </x:row>
    <x:row r="72">
      <x:c r="A72" s="325"/>
      <x:c r="B72" s="328"/>
      <x:c r="C72" s="75"/>
      <x:c r="D72" s="81"/>
      <x:c r="E72" s="93" t="n">
        <x:f>IFERROR(VLOOKUP(D72,'Assumptions'!$A$19:$C$23,3,FALSE),0)</x:f>
        <x:v>0</x:v>
      </x:c>
      <x:c r="F72" s="94"/>
      <x:c r="G72" s="93" t="n">
        <x:f>IF(D72="",0,E72+F72)</x:f>
        <x:v>0</x:v>
      </x:c>
      <x:c r="H72" s="98" t="n">
        <x:f>IFERROR(VLOOKUP(D72,'Assumptions'!$A$19:$C$23,2,FALSE),0)</x:f>
        <x:v>0</x:v>
      </x:c>
      <x:c r="I72" s="93" t="n">
        <x:f>IF(D72="",0,H72*'Assumptions'!$B$10)</x:f>
        <x:v>0</x:v>
      </x:c>
      <x:c r="J72" s="337" t="n">
        <x:f>IF(D72="",0,G72-I72)</x:f>
        <x:v>0</x:v>
      </x:c>
      <x:c r="K72" s="331" t="n">
        <x:f>IF(G72=0,0,J72/G72)</x:f>
        <x:v>0</x:v>
      </x:c>
      <x:c r="L72" s="343" t="n">
        <x:f>IF(D72="",0,J72-I72*'Assumptions'!$B$11)</x:f>
        <x:v>0</x:v>
      </x:c>
      <x:c r="M72" s="80"/>
      <x:c r="N72" s="81"/>
    </x:row>
    <x:row r="73">
      <x:c r="A73" s="325"/>
      <x:c r="B73" s="328"/>
      <x:c r="C73" s="75"/>
      <x:c r="D73" s="81"/>
      <x:c r="E73" s="93" t="n">
        <x:f>IFERROR(VLOOKUP(D73,'Assumptions'!$A$19:$C$23,3,FALSE),0)</x:f>
        <x:v>0</x:v>
      </x:c>
      <x:c r="F73" s="94"/>
      <x:c r="G73" s="93" t="n">
        <x:f>IF(D73="",0,E73+F73)</x:f>
        <x:v>0</x:v>
      </x:c>
      <x:c r="H73" s="98" t="n">
        <x:f>IFERROR(VLOOKUP(D73,'Assumptions'!$A$19:$C$23,2,FALSE),0)</x:f>
        <x:v>0</x:v>
      </x:c>
      <x:c r="I73" s="93" t="n">
        <x:f>IF(D73="",0,H73*'Assumptions'!$B$10)</x:f>
        <x:v>0</x:v>
      </x:c>
      <x:c r="J73" s="337" t="n">
        <x:f>IF(D73="",0,G73-I73)</x:f>
        <x:v>0</x:v>
      </x:c>
      <x:c r="K73" s="331" t="n">
        <x:f>IF(G73=0,0,J73/G73)</x:f>
        <x:v>0</x:v>
      </x:c>
      <x:c r="L73" s="343" t="n">
        <x:f>IF(D73="",0,J73-I73*'Assumptions'!$B$11)</x:f>
        <x:v>0</x:v>
      </x:c>
      <x:c r="M73" s="80"/>
      <x:c r="N73" s="81"/>
    </x:row>
    <x:row r="74">
      <x:c r="A74" s="325"/>
      <x:c r="B74" s="328"/>
      <x:c r="C74" s="75"/>
      <x:c r="D74" s="81"/>
      <x:c r="E74" s="93" t="n">
        <x:f>IFERROR(VLOOKUP(D74,'Assumptions'!$A$19:$C$23,3,FALSE),0)</x:f>
        <x:v>0</x:v>
      </x:c>
      <x:c r="F74" s="94"/>
      <x:c r="G74" s="93" t="n">
        <x:f>IF(D74="",0,E74+F74)</x:f>
        <x:v>0</x:v>
      </x:c>
      <x:c r="H74" s="98" t="n">
        <x:f>IFERROR(VLOOKUP(D74,'Assumptions'!$A$19:$C$23,2,FALSE),0)</x:f>
        <x:v>0</x:v>
      </x:c>
      <x:c r="I74" s="93" t="n">
        <x:f>IF(D74="",0,H74*'Assumptions'!$B$10)</x:f>
        <x:v>0</x:v>
      </x:c>
      <x:c r="J74" s="337" t="n">
        <x:f>IF(D74="",0,G74-I74)</x:f>
        <x:v>0</x:v>
      </x:c>
      <x:c r="K74" s="331" t="n">
        <x:f>IF(G74=0,0,J74/G74)</x:f>
        <x:v>0</x:v>
      </x:c>
      <x:c r="L74" s="343" t="n">
        <x:f>IF(D74="",0,J74-I74*'Assumptions'!$B$11)</x:f>
        <x:v>0</x:v>
      </x:c>
      <x:c r="M74" s="80"/>
      <x:c r="N74" s="81"/>
    </x:row>
    <x:row r="75">
      <x:c r="A75" s="325"/>
      <x:c r="B75" s="328"/>
      <x:c r="C75" s="75"/>
      <x:c r="D75" s="81"/>
      <x:c r="E75" s="93" t="n">
        <x:f>IFERROR(VLOOKUP(D75,'Assumptions'!$A$19:$C$23,3,FALSE),0)</x:f>
        <x:v>0</x:v>
      </x:c>
      <x:c r="F75" s="94"/>
      <x:c r="G75" s="93" t="n">
        <x:f>IF(D75="",0,E75+F75)</x:f>
        <x:v>0</x:v>
      </x:c>
      <x:c r="H75" s="98" t="n">
        <x:f>IFERROR(VLOOKUP(D75,'Assumptions'!$A$19:$C$23,2,FALSE),0)</x:f>
        <x:v>0</x:v>
      </x:c>
      <x:c r="I75" s="93" t="n">
        <x:f>IF(D75="",0,H75*'Assumptions'!$B$10)</x:f>
        <x:v>0</x:v>
      </x:c>
      <x:c r="J75" s="337" t="n">
        <x:f>IF(D75="",0,G75-I75)</x:f>
        <x:v>0</x:v>
      </x:c>
      <x:c r="K75" s="331" t="n">
        <x:f>IF(G75=0,0,J75/G75)</x:f>
        <x:v>0</x:v>
      </x:c>
      <x:c r="L75" s="343" t="n">
        <x:f>IF(D75="",0,J75-I75*'Assumptions'!$B$11)</x:f>
        <x:v>0</x:v>
      </x:c>
      <x:c r="M75" s="80"/>
      <x:c r="N75" s="81"/>
    </x:row>
    <x:row r="76">
      <x:c r="A76" s="325"/>
      <x:c r="B76" s="328"/>
      <x:c r="C76" s="75"/>
      <x:c r="D76" s="81"/>
      <x:c r="E76" s="93" t="n">
        <x:f>IFERROR(VLOOKUP(D76,'Assumptions'!$A$19:$C$23,3,FALSE),0)</x:f>
        <x:v>0</x:v>
      </x:c>
      <x:c r="F76" s="94"/>
      <x:c r="G76" s="93" t="n">
        <x:f>IF(D76="",0,E76+F76)</x:f>
        <x:v>0</x:v>
      </x:c>
      <x:c r="H76" s="98" t="n">
        <x:f>IFERROR(VLOOKUP(D76,'Assumptions'!$A$19:$C$23,2,FALSE),0)</x:f>
        <x:v>0</x:v>
      </x:c>
      <x:c r="I76" s="93" t="n">
        <x:f>IF(D76="",0,H76*'Assumptions'!$B$10)</x:f>
        <x:v>0</x:v>
      </x:c>
      <x:c r="J76" s="337" t="n">
        <x:f>IF(D76="",0,G76-I76)</x:f>
        <x:v>0</x:v>
      </x:c>
      <x:c r="K76" s="331" t="n">
        <x:f>IF(G76=0,0,J76/G76)</x:f>
        <x:v>0</x:v>
      </x:c>
      <x:c r="L76" s="343" t="n">
        <x:f>IF(D76="",0,J76-I76*'Assumptions'!$B$11)</x:f>
        <x:v>0</x:v>
      </x:c>
      <x:c r="M76" s="80"/>
      <x:c r="N76" s="81"/>
    </x:row>
    <x:row r="77">
      <x:c r="A77" s="325"/>
      <x:c r="B77" s="328"/>
      <x:c r="C77" s="75"/>
      <x:c r="D77" s="81"/>
      <x:c r="E77" s="93" t="n">
        <x:f>IFERROR(VLOOKUP(D77,'Assumptions'!$A$19:$C$23,3,FALSE),0)</x:f>
        <x:v>0</x:v>
      </x:c>
      <x:c r="F77" s="94"/>
      <x:c r="G77" s="93" t="n">
        <x:f>IF(D77="",0,E77+F77)</x:f>
        <x:v>0</x:v>
      </x:c>
      <x:c r="H77" s="98" t="n">
        <x:f>IFERROR(VLOOKUP(D77,'Assumptions'!$A$19:$C$23,2,FALSE),0)</x:f>
        <x:v>0</x:v>
      </x:c>
      <x:c r="I77" s="93" t="n">
        <x:f>IF(D77="",0,H77*'Assumptions'!$B$10)</x:f>
        <x:v>0</x:v>
      </x:c>
      <x:c r="J77" s="337" t="n">
        <x:f>IF(D77="",0,G77-I77)</x:f>
        <x:v>0</x:v>
      </x:c>
      <x:c r="K77" s="331" t="n">
        <x:f>IF(G77=0,0,J77/G77)</x:f>
        <x:v>0</x:v>
      </x:c>
      <x:c r="L77" s="343" t="n">
        <x:f>IF(D77="",0,J77-I77*'Assumptions'!$B$11)</x:f>
        <x:v>0</x:v>
      </x:c>
      <x:c r="M77" s="80"/>
      <x:c r="N77" s="81"/>
    </x:row>
    <x:row r="78">
      <x:c r="A78" s="325"/>
      <x:c r="B78" s="328"/>
      <x:c r="C78" s="75"/>
      <x:c r="D78" s="81"/>
      <x:c r="E78" s="93" t="n">
        <x:f>IFERROR(VLOOKUP(D78,'Assumptions'!$A$19:$C$23,3,FALSE),0)</x:f>
        <x:v>0</x:v>
      </x:c>
      <x:c r="F78" s="94"/>
      <x:c r="G78" s="93" t="n">
        <x:f>IF(D78="",0,E78+F78)</x:f>
        <x:v>0</x:v>
      </x:c>
      <x:c r="H78" s="98" t="n">
        <x:f>IFERROR(VLOOKUP(D78,'Assumptions'!$A$19:$C$23,2,FALSE),0)</x:f>
        <x:v>0</x:v>
      </x:c>
      <x:c r="I78" s="93" t="n">
        <x:f>IF(D78="",0,H78*'Assumptions'!$B$10)</x:f>
        <x:v>0</x:v>
      </x:c>
      <x:c r="J78" s="337" t="n">
        <x:f>IF(D78="",0,G78-I78)</x:f>
        <x:v>0</x:v>
      </x:c>
      <x:c r="K78" s="331" t="n">
        <x:f>IF(G78=0,0,J78/G78)</x:f>
        <x:v>0</x:v>
      </x:c>
      <x:c r="L78" s="343" t="n">
        <x:f>IF(D78="",0,J78-I78*'Assumptions'!$B$11)</x:f>
        <x:v>0</x:v>
      </x:c>
      <x:c r="M78" s="80"/>
      <x:c r="N78" s="81"/>
    </x:row>
    <x:row r="79">
      <x:c r="A79" s="325"/>
      <x:c r="B79" s="328"/>
      <x:c r="C79" s="75"/>
      <x:c r="D79" s="81"/>
      <x:c r="E79" s="93" t="n">
        <x:f>IFERROR(VLOOKUP(D79,'Assumptions'!$A$19:$C$23,3,FALSE),0)</x:f>
        <x:v>0</x:v>
      </x:c>
      <x:c r="F79" s="94"/>
      <x:c r="G79" s="93" t="n">
        <x:f>IF(D79="",0,E79+F79)</x:f>
        <x:v>0</x:v>
      </x:c>
      <x:c r="H79" s="98" t="n">
        <x:f>IFERROR(VLOOKUP(D79,'Assumptions'!$A$19:$C$23,2,FALSE),0)</x:f>
        <x:v>0</x:v>
      </x:c>
      <x:c r="I79" s="93" t="n">
        <x:f>IF(D79="",0,H79*'Assumptions'!$B$10)</x:f>
        <x:v>0</x:v>
      </x:c>
      <x:c r="J79" s="337" t="n">
        <x:f>IF(D79="",0,G79-I79)</x:f>
        <x:v>0</x:v>
      </x:c>
      <x:c r="K79" s="331" t="n">
        <x:f>IF(G79=0,0,J79/G79)</x:f>
        <x:v>0</x:v>
      </x:c>
      <x:c r="L79" s="343" t="n">
        <x:f>IF(D79="",0,J79-I79*'Assumptions'!$B$11)</x:f>
        <x:v>0</x:v>
      </x:c>
      <x:c r="M79" s="80"/>
      <x:c r="N79" s="81"/>
    </x:row>
    <x:row r="80">
      <x:c r="A80" s="325"/>
      <x:c r="B80" s="328"/>
      <x:c r="C80" s="75"/>
      <x:c r="D80" s="81"/>
      <x:c r="E80" s="93" t="n">
        <x:f>IFERROR(VLOOKUP(D80,'Assumptions'!$A$19:$C$23,3,FALSE),0)</x:f>
        <x:v>0</x:v>
      </x:c>
      <x:c r="F80" s="94"/>
      <x:c r="G80" s="93" t="n">
        <x:f>IF(D80="",0,E80+F80)</x:f>
        <x:v>0</x:v>
      </x:c>
      <x:c r="H80" s="98" t="n">
        <x:f>IFERROR(VLOOKUP(D80,'Assumptions'!$A$19:$C$23,2,FALSE),0)</x:f>
        <x:v>0</x:v>
      </x:c>
      <x:c r="I80" s="93" t="n">
        <x:f>IF(D80="",0,H80*'Assumptions'!$B$10)</x:f>
        <x:v>0</x:v>
      </x:c>
      <x:c r="J80" s="337" t="n">
        <x:f>IF(D80="",0,G80-I80)</x:f>
        <x:v>0</x:v>
      </x:c>
      <x:c r="K80" s="331" t="n">
        <x:f>IF(G80=0,0,J80/G80)</x:f>
        <x:v>0</x:v>
      </x:c>
      <x:c r="L80" s="343" t="n">
        <x:f>IF(D80="",0,J80-I80*'Assumptions'!$B$11)</x:f>
        <x:v>0</x:v>
      </x:c>
      <x:c r="M80" s="80"/>
      <x:c r="N80" s="81"/>
    </x:row>
    <x:row r="81">
      <x:c r="A81" s="325"/>
      <x:c r="B81" s="328"/>
      <x:c r="C81" s="75"/>
      <x:c r="D81" s="81"/>
      <x:c r="E81" s="93" t="n">
        <x:f>IFERROR(VLOOKUP(D81,'Assumptions'!$A$19:$C$23,3,FALSE),0)</x:f>
        <x:v>0</x:v>
      </x:c>
      <x:c r="F81" s="94"/>
      <x:c r="G81" s="93" t="n">
        <x:f>IF(D81="",0,E81+F81)</x:f>
        <x:v>0</x:v>
      </x:c>
      <x:c r="H81" s="98" t="n">
        <x:f>IFERROR(VLOOKUP(D81,'Assumptions'!$A$19:$C$23,2,FALSE),0)</x:f>
        <x:v>0</x:v>
      </x:c>
      <x:c r="I81" s="93" t="n">
        <x:f>IF(D81="",0,H81*'Assumptions'!$B$10)</x:f>
        <x:v>0</x:v>
      </x:c>
      <x:c r="J81" s="337" t="n">
        <x:f>IF(D81="",0,G81-I81)</x:f>
        <x:v>0</x:v>
      </x:c>
      <x:c r="K81" s="331" t="n">
        <x:f>IF(G81=0,0,J81/G81)</x:f>
        <x:v>0</x:v>
      </x:c>
      <x:c r="L81" s="343" t="n">
        <x:f>IF(D81="",0,J81-I81*'Assumptions'!$B$11)</x:f>
        <x:v>0</x:v>
      </x:c>
      <x:c r="M81" s="80"/>
      <x:c r="N81" s="81"/>
    </x:row>
    <x:row r="82">
      <x:c r="A82" s="325"/>
      <x:c r="B82" s="328"/>
      <x:c r="C82" s="75"/>
      <x:c r="D82" s="81"/>
      <x:c r="E82" s="93" t="n">
        <x:f>IFERROR(VLOOKUP(D82,'Assumptions'!$A$19:$C$23,3,FALSE),0)</x:f>
        <x:v>0</x:v>
      </x:c>
      <x:c r="F82" s="94"/>
      <x:c r="G82" s="93" t="n">
        <x:f>IF(D82="",0,E82+F82)</x:f>
        <x:v>0</x:v>
      </x:c>
      <x:c r="H82" s="98" t="n">
        <x:f>IFERROR(VLOOKUP(D82,'Assumptions'!$A$19:$C$23,2,FALSE),0)</x:f>
        <x:v>0</x:v>
      </x:c>
      <x:c r="I82" s="93" t="n">
        <x:f>IF(D82="",0,H82*'Assumptions'!$B$10)</x:f>
        <x:v>0</x:v>
      </x:c>
      <x:c r="J82" s="337" t="n">
        <x:f>IF(D82="",0,G82-I82)</x:f>
        <x:v>0</x:v>
      </x:c>
      <x:c r="K82" s="331" t="n">
        <x:f>IF(G82=0,0,J82/G82)</x:f>
        <x:v>0</x:v>
      </x:c>
      <x:c r="L82" s="343" t="n">
        <x:f>IF(D82="",0,J82-I82*'Assumptions'!$B$11)</x:f>
        <x:v>0</x:v>
      </x:c>
      <x:c r="M82" s="80"/>
      <x:c r="N82" s="81"/>
    </x:row>
    <x:row r="83">
      <x:c r="A83" s="325"/>
      <x:c r="B83" s="328"/>
      <x:c r="C83" s="75"/>
      <x:c r="D83" s="81"/>
      <x:c r="E83" s="93" t="n">
        <x:f>IFERROR(VLOOKUP(D83,'Assumptions'!$A$19:$C$23,3,FALSE),0)</x:f>
        <x:v>0</x:v>
      </x:c>
      <x:c r="F83" s="94"/>
      <x:c r="G83" s="93" t="n">
        <x:f>IF(D83="",0,E83+F83)</x:f>
        <x:v>0</x:v>
      </x:c>
      <x:c r="H83" s="98" t="n">
        <x:f>IFERROR(VLOOKUP(D83,'Assumptions'!$A$19:$C$23,2,FALSE),0)</x:f>
        <x:v>0</x:v>
      </x:c>
      <x:c r="I83" s="93" t="n">
        <x:f>IF(D83="",0,H83*'Assumptions'!$B$10)</x:f>
        <x:v>0</x:v>
      </x:c>
      <x:c r="J83" s="337" t="n">
        <x:f>IF(D83="",0,G83-I83)</x:f>
        <x:v>0</x:v>
      </x:c>
      <x:c r="K83" s="331" t="n">
        <x:f>IF(G83=0,0,J83/G83)</x:f>
        <x:v>0</x:v>
      </x:c>
      <x:c r="L83" s="343" t="n">
        <x:f>IF(D83="",0,J83-I83*'Assumptions'!$B$11)</x:f>
        <x:v>0</x:v>
      </x:c>
      <x:c r="M83" s="80"/>
      <x:c r="N83" s="81"/>
    </x:row>
    <x:row r="84">
      <x:c r="A84" s="325"/>
      <x:c r="B84" s="328"/>
      <x:c r="C84" s="75"/>
      <x:c r="D84" s="81"/>
      <x:c r="E84" s="93" t="n">
        <x:f>IFERROR(VLOOKUP(D84,'Assumptions'!$A$19:$C$23,3,FALSE),0)</x:f>
        <x:v>0</x:v>
      </x:c>
      <x:c r="F84" s="94"/>
      <x:c r="G84" s="93" t="n">
        <x:f>IF(D84="",0,E84+F84)</x:f>
        <x:v>0</x:v>
      </x:c>
      <x:c r="H84" s="98" t="n">
        <x:f>IFERROR(VLOOKUP(D84,'Assumptions'!$A$19:$C$23,2,FALSE),0)</x:f>
        <x:v>0</x:v>
      </x:c>
      <x:c r="I84" s="93" t="n">
        <x:f>IF(D84="",0,H84*'Assumptions'!$B$10)</x:f>
        <x:v>0</x:v>
      </x:c>
      <x:c r="J84" s="337" t="n">
        <x:f>IF(D84="",0,G84-I84)</x:f>
        <x:v>0</x:v>
      </x:c>
      <x:c r="K84" s="331" t="n">
        <x:f>IF(G84=0,0,J84/G84)</x:f>
        <x:v>0</x:v>
      </x:c>
      <x:c r="L84" s="343" t="n">
        <x:f>IF(D84="",0,J84-I84*'Assumptions'!$B$11)</x:f>
        <x:v>0</x:v>
      </x:c>
      <x:c r="M84" s="80"/>
      <x:c r="N84" s="81"/>
    </x:row>
    <x:row r="85">
      <x:c r="A85" s="325"/>
      <x:c r="B85" s="328"/>
      <x:c r="C85" s="75"/>
      <x:c r="D85" s="81"/>
      <x:c r="E85" s="93" t="n">
        <x:f>IFERROR(VLOOKUP(D85,'Assumptions'!$A$19:$C$23,3,FALSE),0)</x:f>
        <x:v>0</x:v>
      </x:c>
      <x:c r="F85" s="94"/>
      <x:c r="G85" s="93" t="n">
        <x:f>IF(D85="",0,E85+F85)</x:f>
        <x:v>0</x:v>
      </x:c>
      <x:c r="H85" s="98" t="n">
        <x:f>IFERROR(VLOOKUP(D85,'Assumptions'!$A$19:$C$23,2,FALSE),0)</x:f>
        <x:v>0</x:v>
      </x:c>
      <x:c r="I85" s="93" t="n">
        <x:f>IF(D85="",0,H85*'Assumptions'!$B$10)</x:f>
        <x:v>0</x:v>
      </x:c>
      <x:c r="J85" s="337" t="n">
        <x:f>IF(D85="",0,G85-I85)</x:f>
        <x:v>0</x:v>
      </x:c>
      <x:c r="K85" s="331" t="n">
        <x:f>IF(G85=0,0,J85/G85)</x:f>
        <x:v>0</x:v>
      </x:c>
      <x:c r="L85" s="343" t="n">
        <x:f>IF(D85="",0,J85-I85*'Assumptions'!$B$11)</x:f>
        <x:v>0</x:v>
      </x:c>
      <x:c r="M85" s="80"/>
      <x:c r="N85" s="81"/>
    </x:row>
    <x:row r="86">
      <x:c r="A86" s="325"/>
      <x:c r="B86" s="328"/>
      <x:c r="C86" s="75"/>
      <x:c r="D86" s="81"/>
      <x:c r="E86" s="93" t="n">
        <x:f>IFERROR(VLOOKUP(D86,'Assumptions'!$A$19:$C$23,3,FALSE),0)</x:f>
        <x:v>0</x:v>
      </x:c>
      <x:c r="F86" s="94"/>
      <x:c r="G86" s="93" t="n">
        <x:f>IF(D86="",0,E86+F86)</x:f>
        <x:v>0</x:v>
      </x:c>
      <x:c r="H86" s="98" t="n">
        <x:f>IFERROR(VLOOKUP(D86,'Assumptions'!$A$19:$C$23,2,FALSE),0)</x:f>
        <x:v>0</x:v>
      </x:c>
      <x:c r="I86" s="93" t="n">
        <x:f>IF(D86="",0,H86*'Assumptions'!$B$10)</x:f>
        <x:v>0</x:v>
      </x:c>
      <x:c r="J86" s="337" t="n">
        <x:f>IF(D86="",0,G86-I86)</x:f>
        <x:v>0</x:v>
      </x:c>
      <x:c r="K86" s="331" t="n">
        <x:f>IF(G86=0,0,J86/G86)</x:f>
        <x:v>0</x:v>
      </x:c>
      <x:c r="L86" s="343" t="n">
        <x:f>IF(D86="",0,J86-I86*'Assumptions'!$B$11)</x:f>
        <x:v>0</x:v>
      </x:c>
      <x:c r="M86" s="80"/>
      <x:c r="N86" s="81"/>
    </x:row>
    <x:row r="87">
      <x:c r="A87" s="325"/>
      <x:c r="B87" s="328"/>
      <x:c r="C87" s="75"/>
      <x:c r="D87" s="81"/>
      <x:c r="E87" s="93" t="n">
        <x:f>IFERROR(VLOOKUP(D87,'Assumptions'!$A$19:$C$23,3,FALSE),0)</x:f>
        <x:v>0</x:v>
      </x:c>
      <x:c r="F87" s="94"/>
      <x:c r="G87" s="93" t="n">
        <x:f>IF(D87="",0,E87+F87)</x:f>
        <x:v>0</x:v>
      </x:c>
      <x:c r="H87" s="98" t="n">
        <x:f>IFERROR(VLOOKUP(D87,'Assumptions'!$A$19:$C$23,2,FALSE),0)</x:f>
        <x:v>0</x:v>
      </x:c>
      <x:c r="I87" s="93" t="n">
        <x:f>IF(D87="",0,H87*'Assumptions'!$B$10)</x:f>
        <x:v>0</x:v>
      </x:c>
      <x:c r="J87" s="337" t="n">
        <x:f>IF(D87="",0,G87-I87)</x:f>
        <x:v>0</x:v>
      </x:c>
      <x:c r="K87" s="331" t="n">
        <x:f>IF(G87=0,0,J87/G87)</x:f>
        <x:v>0</x:v>
      </x:c>
      <x:c r="L87" s="343" t="n">
        <x:f>IF(D87="",0,J87-I87*'Assumptions'!$B$11)</x:f>
        <x:v>0</x:v>
      </x:c>
      <x:c r="M87" s="80"/>
      <x:c r="N87" s="81"/>
    </x:row>
    <x:row r="88">
      <x:c r="A88" s="325"/>
      <x:c r="B88" s="328"/>
      <x:c r="C88" s="75"/>
      <x:c r="D88" s="81"/>
      <x:c r="E88" s="93" t="n">
        <x:f>IFERROR(VLOOKUP(D88,'Assumptions'!$A$19:$C$23,3,FALSE),0)</x:f>
        <x:v>0</x:v>
      </x:c>
      <x:c r="F88" s="94"/>
      <x:c r="G88" s="93" t="n">
        <x:f>IF(D88="",0,E88+F88)</x:f>
        <x:v>0</x:v>
      </x:c>
      <x:c r="H88" s="98" t="n">
        <x:f>IFERROR(VLOOKUP(D88,'Assumptions'!$A$19:$C$23,2,FALSE),0)</x:f>
        <x:v>0</x:v>
      </x:c>
      <x:c r="I88" s="93" t="n">
        <x:f>IF(D88="",0,H88*'Assumptions'!$B$10)</x:f>
        <x:v>0</x:v>
      </x:c>
      <x:c r="J88" s="337" t="n">
        <x:f>IF(D88="",0,G88-I88)</x:f>
        <x:v>0</x:v>
      </x:c>
      <x:c r="K88" s="331" t="n">
        <x:f>IF(G88=0,0,J88/G88)</x:f>
        <x:v>0</x:v>
      </x:c>
      <x:c r="L88" s="343" t="n">
        <x:f>IF(D88="",0,J88-I88*'Assumptions'!$B$11)</x:f>
        <x:v>0</x:v>
      </x:c>
      <x:c r="M88" s="80"/>
      <x:c r="N88" s="81"/>
    </x:row>
    <x:row r="89">
      <x:c r="A89" s="325"/>
      <x:c r="B89" s="328"/>
      <x:c r="C89" s="75"/>
      <x:c r="D89" s="81"/>
      <x:c r="E89" s="93" t="n">
        <x:f>IFERROR(VLOOKUP(D89,'Assumptions'!$A$19:$C$23,3,FALSE),0)</x:f>
        <x:v>0</x:v>
      </x:c>
      <x:c r="F89" s="94"/>
      <x:c r="G89" s="93" t="n">
        <x:f>IF(D89="",0,E89+F89)</x:f>
        <x:v>0</x:v>
      </x:c>
      <x:c r="H89" s="98" t="n">
        <x:f>IFERROR(VLOOKUP(D89,'Assumptions'!$A$19:$C$23,2,FALSE),0)</x:f>
        <x:v>0</x:v>
      </x:c>
      <x:c r="I89" s="93" t="n">
        <x:f>IF(D89="",0,H89*'Assumptions'!$B$10)</x:f>
        <x:v>0</x:v>
      </x:c>
      <x:c r="J89" s="337" t="n">
        <x:f>IF(D89="",0,G89-I89)</x:f>
        <x:v>0</x:v>
      </x:c>
      <x:c r="K89" s="331" t="n">
        <x:f>IF(G89=0,0,J89/G89)</x:f>
        <x:v>0</x:v>
      </x:c>
      <x:c r="L89" s="343" t="n">
        <x:f>IF(D89="",0,J89-I89*'Assumptions'!$B$11)</x:f>
        <x:v>0</x:v>
      </x:c>
      <x:c r="M89" s="80"/>
      <x:c r="N89" s="81"/>
    </x:row>
    <x:row r="90">
      <x:c r="A90" s="325"/>
      <x:c r="B90" s="328"/>
      <x:c r="C90" s="75"/>
      <x:c r="D90" s="81"/>
      <x:c r="E90" s="93" t="n">
        <x:f>IFERROR(VLOOKUP(D90,'Assumptions'!$A$19:$C$23,3,FALSE),0)</x:f>
        <x:v>0</x:v>
      </x:c>
      <x:c r="F90" s="94"/>
      <x:c r="G90" s="93" t="n">
        <x:f>IF(D90="",0,E90+F90)</x:f>
        <x:v>0</x:v>
      </x:c>
      <x:c r="H90" s="98" t="n">
        <x:f>IFERROR(VLOOKUP(D90,'Assumptions'!$A$19:$C$23,2,FALSE),0)</x:f>
        <x:v>0</x:v>
      </x:c>
      <x:c r="I90" s="93" t="n">
        <x:f>IF(D90="",0,H90*'Assumptions'!$B$10)</x:f>
        <x:v>0</x:v>
      </x:c>
      <x:c r="J90" s="337" t="n">
        <x:f>IF(D90="",0,G90-I90)</x:f>
        <x:v>0</x:v>
      </x:c>
      <x:c r="K90" s="331" t="n">
        <x:f>IF(G90=0,0,J90/G90)</x:f>
        <x:v>0</x:v>
      </x:c>
      <x:c r="L90" s="343" t="n">
        <x:f>IF(D90="",0,J90-I90*'Assumptions'!$B$11)</x:f>
        <x:v>0</x:v>
      </x:c>
      <x:c r="M90" s="80"/>
      <x:c r="N90" s="81"/>
    </x:row>
    <x:row r="91">
      <x:c r="A91" s="325"/>
      <x:c r="B91" s="328"/>
      <x:c r="C91" s="75"/>
      <x:c r="D91" s="81"/>
      <x:c r="E91" s="93" t="n">
        <x:f>IFERROR(VLOOKUP(D91,'Assumptions'!$A$19:$C$23,3,FALSE),0)</x:f>
        <x:v>0</x:v>
      </x:c>
      <x:c r="F91" s="94"/>
      <x:c r="G91" s="93" t="n">
        <x:f>IF(D91="",0,E91+F91)</x:f>
        <x:v>0</x:v>
      </x:c>
      <x:c r="H91" s="98" t="n">
        <x:f>IFERROR(VLOOKUP(D91,'Assumptions'!$A$19:$C$23,2,FALSE),0)</x:f>
        <x:v>0</x:v>
      </x:c>
      <x:c r="I91" s="93" t="n">
        <x:f>IF(D91="",0,H91*'Assumptions'!$B$10)</x:f>
        <x:v>0</x:v>
      </x:c>
      <x:c r="J91" s="337" t="n">
        <x:f>IF(D91="",0,G91-I91)</x:f>
        <x:v>0</x:v>
      </x:c>
      <x:c r="K91" s="331" t="n">
        <x:f>IF(G91=0,0,J91/G91)</x:f>
        <x:v>0</x:v>
      </x:c>
      <x:c r="L91" s="343" t="n">
        <x:f>IF(D91="",0,J91-I91*'Assumptions'!$B$11)</x:f>
        <x:v>0</x:v>
      </x:c>
      <x:c r="M91" s="80"/>
      <x:c r="N91" s="81"/>
    </x:row>
    <x:row r="92">
      <x:c r="A92" s="325"/>
      <x:c r="B92" s="328"/>
      <x:c r="C92" s="75"/>
      <x:c r="D92" s="81"/>
      <x:c r="E92" s="93" t="n">
        <x:f>IFERROR(VLOOKUP(D92,'Assumptions'!$A$19:$C$23,3,FALSE),0)</x:f>
        <x:v>0</x:v>
      </x:c>
      <x:c r="F92" s="94"/>
      <x:c r="G92" s="93" t="n">
        <x:f>IF(D92="",0,E92+F92)</x:f>
        <x:v>0</x:v>
      </x:c>
      <x:c r="H92" s="98" t="n">
        <x:f>IFERROR(VLOOKUP(D92,'Assumptions'!$A$19:$C$23,2,FALSE),0)</x:f>
        <x:v>0</x:v>
      </x:c>
      <x:c r="I92" s="93" t="n">
        <x:f>IF(D92="",0,H92*'Assumptions'!$B$10)</x:f>
        <x:v>0</x:v>
      </x:c>
      <x:c r="J92" s="337" t="n">
        <x:f>IF(D92="",0,G92-I92)</x:f>
        <x:v>0</x:v>
      </x:c>
      <x:c r="K92" s="331" t="n">
        <x:f>IF(G92=0,0,J92/G92)</x:f>
        <x:v>0</x:v>
      </x:c>
      <x:c r="L92" s="343" t="n">
        <x:f>IF(D92="",0,J92-I92*'Assumptions'!$B$11)</x:f>
        <x:v>0</x:v>
      </x:c>
      <x:c r="M92" s="80"/>
      <x:c r="N92" s="81"/>
    </x:row>
    <x:row r="93">
      <x:c r="A93" s="325"/>
      <x:c r="B93" s="328"/>
      <x:c r="C93" s="75"/>
      <x:c r="D93" s="81"/>
      <x:c r="E93" s="93" t="n">
        <x:f>IFERROR(VLOOKUP(D93,'Assumptions'!$A$19:$C$23,3,FALSE),0)</x:f>
        <x:v>0</x:v>
      </x:c>
      <x:c r="F93" s="94"/>
      <x:c r="G93" s="93" t="n">
        <x:f>IF(D93="",0,E93+F93)</x:f>
        <x:v>0</x:v>
      </x:c>
      <x:c r="H93" s="98" t="n">
        <x:f>IFERROR(VLOOKUP(D93,'Assumptions'!$A$19:$C$23,2,FALSE),0)</x:f>
        <x:v>0</x:v>
      </x:c>
      <x:c r="I93" s="93" t="n">
        <x:f>IF(D93="",0,H93*'Assumptions'!$B$10)</x:f>
        <x:v>0</x:v>
      </x:c>
      <x:c r="J93" s="337" t="n">
        <x:f>IF(D93="",0,G93-I93)</x:f>
        <x:v>0</x:v>
      </x:c>
      <x:c r="K93" s="331" t="n">
        <x:f>IF(G93=0,0,J93/G93)</x:f>
        <x:v>0</x:v>
      </x:c>
      <x:c r="L93" s="343" t="n">
        <x:f>IF(D93="",0,J93-I93*'Assumptions'!$B$11)</x:f>
        <x:v>0</x:v>
      </x:c>
      <x:c r="M93" s="80"/>
      <x:c r="N93" s="81"/>
    </x:row>
    <x:row r="94">
      <x:c r="A94" s="325"/>
      <x:c r="B94" s="328"/>
      <x:c r="C94" s="75"/>
      <x:c r="D94" s="81"/>
      <x:c r="E94" s="93" t="n">
        <x:f>IFERROR(VLOOKUP(D94,'Assumptions'!$A$19:$C$23,3,FALSE),0)</x:f>
        <x:v>0</x:v>
      </x:c>
      <x:c r="F94" s="94"/>
      <x:c r="G94" s="93" t="n">
        <x:f>IF(D94="",0,E94+F94)</x:f>
        <x:v>0</x:v>
      </x:c>
      <x:c r="H94" s="98" t="n">
        <x:f>IFERROR(VLOOKUP(D94,'Assumptions'!$A$19:$C$23,2,FALSE),0)</x:f>
        <x:v>0</x:v>
      </x:c>
      <x:c r="I94" s="93" t="n">
        <x:f>IF(D94="",0,H94*'Assumptions'!$B$10)</x:f>
        <x:v>0</x:v>
      </x:c>
      <x:c r="J94" s="337" t="n">
        <x:f>IF(D94="",0,G94-I94)</x:f>
        <x:v>0</x:v>
      </x:c>
      <x:c r="K94" s="331" t="n">
        <x:f>IF(G94=0,0,J94/G94)</x:f>
        <x:v>0</x:v>
      </x:c>
      <x:c r="L94" s="343" t="n">
        <x:f>IF(D94="",0,J94-I94*'Assumptions'!$B$11)</x:f>
        <x:v>0</x:v>
      </x:c>
      <x:c r="M94" s="80"/>
      <x:c r="N94" s="81"/>
    </x:row>
    <x:row r="95">
      <x:c r="A95" s="325"/>
      <x:c r="B95" s="328"/>
      <x:c r="C95" s="75"/>
      <x:c r="D95" s="81"/>
      <x:c r="E95" s="93" t="n">
        <x:f>IFERROR(VLOOKUP(D95,'Assumptions'!$A$19:$C$23,3,FALSE),0)</x:f>
        <x:v>0</x:v>
      </x:c>
      <x:c r="F95" s="94"/>
      <x:c r="G95" s="93" t="n">
        <x:f>IF(D95="",0,E95+F95)</x:f>
        <x:v>0</x:v>
      </x:c>
      <x:c r="H95" s="98" t="n">
        <x:f>IFERROR(VLOOKUP(D95,'Assumptions'!$A$19:$C$23,2,FALSE),0)</x:f>
        <x:v>0</x:v>
      </x:c>
      <x:c r="I95" s="93" t="n">
        <x:f>IF(D95="",0,H95*'Assumptions'!$B$10)</x:f>
        <x:v>0</x:v>
      </x:c>
      <x:c r="J95" s="337" t="n">
        <x:f>IF(D95="",0,G95-I95)</x:f>
        <x:v>0</x:v>
      </x:c>
      <x:c r="K95" s="331" t="n">
        <x:f>IF(G95=0,0,J95/G95)</x:f>
        <x:v>0</x:v>
      </x:c>
      <x:c r="L95" s="343" t="n">
        <x:f>IF(D95="",0,J95-I95*'Assumptions'!$B$11)</x:f>
        <x:v>0</x:v>
      </x:c>
      <x:c r="M95" s="80"/>
      <x:c r="N95" s="81"/>
    </x:row>
    <x:row r="96">
      <x:c r="A96" s="325"/>
      <x:c r="B96" s="328"/>
      <x:c r="C96" s="75"/>
      <x:c r="D96" s="81"/>
      <x:c r="E96" s="93" t="n">
        <x:f>IFERROR(VLOOKUP(D96,'Assumptions'!$A$19:$C$23,3,FALSE),0)</x:f>
        <x:v>0</x:v>
      </x:c>
      <x:c r="F96" s="94"/>
      <x:c r="G96" s="93" t="n">
        <x:f>IF(D96="",0,E96+F96)</x:f>
        <x:v>0</x:v>
      </x:c>
      <x:c r="H96" s="98" t="n">
        <x:f>IFERROR(VLOOKUP(D96,'Assumptions'!$A$19:$C$23,2,FALSE),0)</x:f>
        <x:v>0</x:v>
      </x:c>
      <x:c r="I96" s="93" t="n">
        <x:f>IF(D96="",0,H96*'Assumptions'!$B$10)</x:f>
        <x:v>0</x:v>
      </x:c>
      <x:c r="J96" s="337" t="n">
        <x:f>IF(D96="",0,G96-I96)</x:f>
        <x:v>0</x:v>
      </x:c>
      <x:c r="K96" s="331" t="n">
        <x:f>IF(G96=0,0,J96/G96)</x:f>
        <x:v>0</x:v>
      </x:c>
      <x:c r="L96" s="343" t="n">
        <x:f>IF(D96="",0,J96-I96*'Assumptions'!$B$11)</x:f>
        <x:v>0</x:v>
      </x:c>
      <x:c r="M96" s="80"/>
      <x:c r="N96" s="81"/>
    </x:row>
    <x:row r="97">
      <x:c r="A97" s="325"/>
      <x:c r="B97" s="328"/>
      <x:c r="C97" s="75"/>
      <x:c r="D97" s="81"/>
      <x:c r="E97" s="93" t="n">
        <x:f>IFERROR(VLOOKUP(D97,'Assumptions'!$A$19:$C$23,3,FALSE),0)</x:f>
        <x:v>0</x:v>
      </x:c>
      <x:c r="F97" s="94"/>
      <x:c r="G97" s="93" t="n">
        <x:f>IF(D97="",0,E97+F97)</x:f>
        <x:v>0</x:v>
      </x:c>
      <x:c r="H97" s="98" t="n">
        <x:f>IFERROR(VLOOKUP(D97,'Assumptions'!$A$19:$C$23,2,FALSE),0)</x:f>
        <x:v>0</x:v>
      </x:c>
      <x:c r="I97" s="93" t="n">
        <x:f>IF(D97="",0,H97*'Assumptions'!$B$10)</x:f>
        <x:v>0</x:v>
      </x:c>
      <x:c r="J97" s="337" t="n">
        <x:f>IF(D97="",0,G97-I97)</x:f>
        <x:v>0</x:v>
      </x:c>
      <x:c r="K97" s="331" t="n">
        <x:f>IF(G97=0,0,J97/G97)</x:f>
        <x:v>0</x:v>
      </x:c>
      <x:c r="L97" s="343" t="n">
        <x:f>IF(D97="",0,J97-I97*'Assumptions'!$B$11)</x:f>
        <x:v>0</x:v>
      </x:c>
      <x:c r="M97" s="80"/>
      <x:c r="N97" s="81"/>
    </x:row>
    <x:row r="98">
      <x:c r="A98" s="325"/>
      <x:c r="B98" s="328"/>
      <x:c r="C98" s="75"/>
      <x:c r="D98" s="81"/>
      <x:c r="E98" s="93" t="n">
        <x:f>IFERROR(VLOOKUP(D98,'Assumptions'!$A$19:$C$23,3,FALSE),0)</x:f>
        <x:v>0</x:v>
      </x:c>
      <x:c r="F98" s="94"/>
      <x:c r="G98" s="93" t="n">
        <x:f>IF(D98="",0,E98+F98)</x:f>
        <x:v>0</x:v>
      </x:c>
      <x:c r="H98" s="98" t="n">
        <x:f>IFERROR(VLOOKUP(D98,'Assumptions'!$A$19:$C$23,2,FALSE),0)</x:f>
        <x:v>0</x:v>
      </x:c>
      <x:c r="I98" s="93" t="n">
        <x:f>IF(D98="",0,H98*'Assumptions'!$B$10)</x:f>
        <x:v>0</x:v>
      </x:c>
      <x:c r="J98" s="337" t="n">
        <x:f>IF(D98="",0,G98-I98)</x:f>
        <x:v>0</x:v>
      </x:c>
      <x:c r="K98" s="331" t="n">
        <x:f>IF(G98=0,0,J98/G98)</x:f>
        <x:v>0</x:v>
      </x:c>
      <x:c r="L98" s="343" t="n">
        <x:f>IF(D98="",0,J98-I98*'Assumptions'!$B$11)</x:f>
        <x:v>0</x:v>
      </x:c>
      <x:c r="M98" s="80"/>
      <x:c r="N98" s="81"/>
    </x:row>
    <x:row r="99">
      <x:c r="A99" s="325"/>
      <x:c r="B99" s="328"/>
      <x:c r="C99" s="75"/>
      <x:c r="D99" s="81"/>
      <x:c r="E99" s="93" t="n">
        <x:f>IFERROR(VLOOKUP(D99,'Assumptions'!$A$19:$C$23,3,FALSE),0)</x:f>
        <x:v>0</x:v>
      </x:c>
      <x:c r="F99" s="94"/>
      <x:c r="G99" s="93" t="n">
        <x:f>IF(D99="",0,E99+F99)</x:f>
        <x:v>0</x:v>
      </x:c>
      <x:c r="H99" s="98" t="n">
        <x:f>IFERROR(VLOOKUP(D99,'Assumptions'!$A$19:$C$23,2,FALSE),0)</x:f>
        <x:v>0</x:v>
      </x:c>
      <x:c r="I99" s="93" t="n">
        <x:f>IF(D99="",0,H99*'Assumptions'!$B$10)</x:f>
        <x:v>0</x:v>
      </x:c>
      <x:c r="J99" s="337" t="n">
        <x:f>IF(D99="",0,G99-I99)</x:f>
        <x:v>0</x:v>
      </x:c>
      <x:c r="K99" s="331" t="n">
        <x:f>IF(G99=0,0,J99/G99)</x:f>
        <x:v>0</x:v>
      </x:c>
      <x:c r="L99" s="343" t="n">
        <x:f>IF(D99="",0,J99-I99*'Assumptions'!$B$11)</x:f>
        <x:v>0</x:v>
      </x:c>
      <x:c r="M99" s="80"/>
      <x:c r="N99" s="81"/>
    </x:row>
    <x:row r="100">
      <x:c r="A100" s="325"/>
      <x:c r="B100" s="328"/>
      <x:c r="C100" s="75"/>
      <x:c r="D100" s="81"/>
      <x:c r="E100" s="93" t="n">
        <x:f>IFERROR(VLOOKUP(D100,'Assumptions'!$A$19:$C$23,3,FALSE),0)</x:f>
        <x:v>0</x:v>
      </x:c>
      <x:c r="F100" s="94"/>
      <x:c r="G100" s="93" t="n">
        <x:f>IF(D100="",0,E100+F100)</x:f>
        <x:v>0</x:v>
      </x:c>
      <x:c r="H100" s="98" t="n">
        <x:f>IFERROR(VLOOKUP(D100,'Assumptions'!$A$19:$C$23,2,FALSE),0)</x:f>
        <x:v>0</x:v>
      </x:c>
      <x:c r="I100" s="93" t="n">
        <x:f>IF(D100="",0,H100*'Assumptions'!$B$10)</x:f>
        <x:v>0</x:v>
      </x:c>
      <x:c r="J100" s="337" t="n">
        <x:f>IF(D100="",0,G100-I100)</x:f>
        <x:v>0</x:v>
      </x:c>
      <x:c r="K100" s="331" t="n">
        <x:f>IF(G100=0,0,J100/G100)</x:f>
        <x:v>0</x:v>
      </x:c>
      <x:c r="L100" s="343" t="n">
        <x:f>IF(D100="",0,J100-I100*'Assumptions'!$B$11)</x:f>
        <x:v>0</x:v>
      </x:c>
      <x:c r="M100" s="80"/>
      <x:c r="N100" s="81"/>
    </x:row>
    <x:row r="101">
      <x:c r="A101" s="325"/>
      <x:c r="B101" s="328"/>
      <x:c r="C101" s="75"/>
      <x:c r="D101" s="81"/>
      <x:c r="E101" s="93" t="n">
        <x:f>IFERROR(VLOOKUP(D101,'Assumptions'!$A$19:$C$23,3,FALSE),0)</x:f>
        <x:v>0</x:v>
      </x:c>
      <x:c r="F101" s="94"/>
      <x:c r="G101" s="93" t="n">
        <x:f>IF(D101="",0,E101+F101)</x:f>
        <x:v>0</x:v>
      </x:c>
      <x:c r="H101" s="98" t="n">
        <x:f>IFERROR(VLOOKUP(D101,'Assumptions'!$A$19:$C$23,2,FALSE),0)</x:f>
        <x:v>0</x:v>
      </x:c>
      <x:c r="I101" s="93" t="n">
        <x:f>IF(D101="",0,H101*'Assumptions'!$B$10)</x:f>
        <x:v>0</x:v>
      </x:c>
      <x:c r="J101" s="337" t="n">
        <x:f>IF(D101="",0,G101-I101)</x:f>
        <x:v>0</x:v>
      </x:c>
      <x:c r="K101" s="331" t="n">
        <x:f>IF(G101=0,0,J101/G101)</x:f>
        <x:v>0</x:v>
      </x:c>
      <x:c r="L101" s="343" t="n">
        <x:f>IF(D101="",0,J101-I101*'Assumptions'!$B$11)</x:f>
        <x:v>0</x:v>
      </x:c>
      <x:c r="M101" s="80"/>
      <x:c r="N101" s="81"/>
    </x:row>
    <x:row r="102">
      <x:c r="A102" s="325"/>
      <x:c r="B102" s="328"/>
      <x:c r="C102" s="75"/>
      <x:c r="D102" s="81"/>
      <x:c r="E102" s="93" t="n">
        <x:f>IFERROR(VLOOKUP(D102,'Assumptions'!$A$19:$C$23,3,FALSE),0)</x:f>
        <x:v>0</x:v>
      </x:c>
      <x:c r="F102" s="94"/>
      <x:c r="G102" s="93" t="n">
        <x:f>IF(D102="",0,E102+F102)</x:f>
        <x:v>0</x:v>
      </x:c>
      <x:c r="H102" s="98" t="n">
        <x:f>IFERROR(VLOOKUP(D102,'Assumptions'!$A$19:$C$23,2,FALSE),0)</x:f>
        <x:v>0</x:v>
      </x:c>
      <x:c r="I102" s="93" t="n">
        <x:f>IF(D102="",0,H102*'Assumptions'!$B$10)</x:f>
        <x:v>0</x:v>
      </x:c>
      <x:c r="J102" s="337" t="n">
        <x:f>IF(D102="",0,G102-I102)</x:f>
        <x:v>0</x:v>
      </x:c>
      <x:c r="K102" s="331" t="n">
        <x:f>IF(G102=0,0,J102/G102)</x:f>
        <x:v>0</x:v>
      </x:c>
      <x:c r="L102" s="343" t="n">
        <x:f>IF(D102="",0,J102-I102*'Assumptions'!$B$11)</x:f>
        <x:v>0</x:v>
      </x:c>
      <x:c r="M102" s="80"/>
      <x:c r="N102" s="81"/>
    </x:row>
    <x:row r="103">
      <x:c r="A103" s="325"/>
      <x:c r="B103" s="328"/>
      <x:c r="C103" s="75"/>
      <x:c r="D103" s="81"/>
      <x:c r="E103" s="93" t="n">
        <x:f>IFERROR(VLOOKUP(D103,'Assumptions'!$A$19:$C$23,3,FALSE),0)</x:f>
        <x:v>0</x:v>
      </x:c>
      <x:c r="F103" s="94"/>
      <x:c r="G103" s="93" t="n">
        <x:f>IF(D103="",0,E103+F103)</x:f>
        <x:v>0</x:v>
      </x:c>
      <x:c r="H103" s="98" t="n">
        <x:f>IFERROR(VLOOKUP(D103,'Assumptions'!$A$19:$C$23,2,FALSE),0)</x:f>
        <x:v>0</x:v>
      </x:c>
      <x:c r="I103" s="93" t="n">
        <x:f>IF(D103="",0,H103*'Assumptions'!$B$10)</x:f>
        <x:v>0</x:v>
      </x:c>
      <x:c r="J103" s="337" t="n">
        <x:f>IF(D103="",0,G103-I103)</x:f>
        <x:v>0</x:v>
      </x:c>
      <x:c r="K103" s="331" t="n">
        <x:f>IF(G103=0,0,J103/G103)</x:f>
        <x:v>0</x:v>
      </x:c>
      <x:c r="L103" s="343" t="n">
        <x:f>IF(D103="",0,J103-I103*'Assumptions'!$B$11)</x:f>
        <x:v>0</x:v>
      </x:c>
      <x:c r="M103" s="80"/>
      <x:c r="N103" s="81"/>
    </x:row>
    <x:row r="104">
      <x:c r="A104" s="325"/>
      <x:c r="B104" s="328"/>
      <x:c r="C104" s="75"/>
      <x:c r="D104" s="81"/>
      <x:c r="E104" s="93" t="n">
        <x:f>IFERROR(VLOOKUP(D104,'Assumptions'!$A$19:$C$23,3,FALSE),0)</x:f>
        <x:v>0</x:v>
      </x:c>
      <x:c r="F104" s="94"/>
      <x:c r="G104" s="93" t="n">
        <x:f>IF(D104="",0,E104+F104)</x:f>
        <x:v>0</x:v>
      </x:c>
      <x:c r="H104" s="98" t="n">
        <x:f>IFERROR(VLOOKUP(D104,'Assumptions'!$A$19:$C$23,2,FALSE),0)</x:f>
        <x:v>0</x:v>
      </x:c>
      <x:c r="I104" s="93" t="n">
        <x:f>IF(D104="",0,H104*'Assumptions'!$B$10)</x:f>
        <x:v>0</x:v>
      </x:c>
      <x:c r="J104" s="337" t="n">
        <x:f>IF(D104="",0,G104-I104)</x:f>
        <x:v>0</x:v>
      </x:c>
      <x:c r="K104" s="331" t="n">
        <x:f>IF(G104=0,0,J104/G104)</x:f>
        <x:v>0</x:v>
      </x:c>
      <x:c r="L104" s="343" t="n">
        <x:f>IF(D104="",0,J104-I104*'Assumptions'!$B$11)</x:f>
        <x:v>0</x:v>
      </x:c>
      <x:c r="M104" s="80"/>
      <x:c r="N104" s="81"/>
    </x:row>
    <x:row r="105">
      <x:c r="A105" s="325"/>
      <x:c r="B105" s="328"/>
      <x:c r="C105" s="75"/>
      <x:c r="D105" s="81"/>
      <x:c r="E105" s="93" t="n">
        <x:f>IFERROR(VLOOKUP(D105,'Assumptions'!$A$19:$C$23,3,FALSE),0)</x:f>
        <x:v>0</x:v>
      </x:c>
      <x:c r="F105" s="94"/>
      <x:c r="G105" s="93" t="n">
        <x:f>IF(D105="",0,E105+F105)</x:f>
        <x:v>0</x:v>
      </x:c>
      <x:c r="H105" s="98" t="n">
        <x:f>IFERROR(VLOOKUP(D105,'Assumptions'!$A$19:$C$23,2,FALSE),0)</x:f>
        <x:v>0</x:v>
      </x:c>
      <x:c r="I105" s="93" t="n">
        <x:f>IF(D105="",0,H105*'Assumptions'!$B$10)</x:f>
        <x:v>0</x:v>
      </x:c>
      <x:c r="J105" s="337" t="n">
        <x:f>IF(D105="",0,G105-I105)</x:f>
        <x:v>0</x:v>
      </x:c>
      <x:c r="K105" s="331" t="n">
        <x:f>IF(G105=0,0,J105/G105)</x:f>
        <x:v>0</x:v>
      </x:c>
      <x:c r="L105" s="343" t="n">
        <x:f>IF(D105="",0,J105-I105*'Assumptions'!$B$11)</x:f>
        <x:v>0</x:v>
      </x:c>
      <x:c r="M105" s="80"/>
      <x:c r="N105" s="81"/>
    </x:row>
    <x:row r="106">
      <x:c r="A106" s="325"/>
      <x:c r="B106" s="328"/>
      <x:c r="C106" s="75"/>
      <x:c r="D106" s="81"/>
      <x:c r="E106" s="93" t="n">
        <x:f>IFERROR(VLOOKUP(D106,'Assumptions'!$A$19:$C$23,3,FALSE),0)</x:f>
        <x:v>0</x:v>
      </x:c>
      <x:c r="F106" s="94"/>
      <x:c r="G106" s="93" t="n">
        <x:f>IF(D106="",0,E106+F106)</x:f>
        <x:v>0</x:v>
      </x:c>
      <x:c r="H106" s="98" t="n">
        <x:f>IFERROR(VLOOKUP(D106,'Assumptions'!$A$19:$C$23,2,FALSE),0)</x:f>
        <x:v>0</x:v>
      </x:c>
      <x:c r="I106" s="93" t="n">
        <x:f>IF(D106="",0,H106*'Assumptions'!$B$10)</x:f>
        <x:v>0</x:v>
      </x:c>
      <x:c r="J106" s="337" t="n">
        <x:f>IF(D106="",0,G106-I106)</x:f>
        <x:v>0</x:v>
      </x:c>
      <x:c r="K106" s="331" t="n">
        <x:f>IF(G106=0,0,J106/G106)</x:f>
        <x:v>0</x:v>
      </x:c>
      <x:c r="L106" s="343" t="n">
        <x:f>IF(D106="",0,J106-I106*'Assumptions'!$B$11)</x:f>
        <x:v>0</x:v>
      </x:c>
      <x:c r="M106" s="80"/>
      <x:c r="N106" s="81"/>
    </x:row>
    <x:row r="107">
      <x:c r="A107" s="325"/>
      <x:c r="B107" s="328"/>
      <x:c r="C107" s="75"/>
      <x:c r="D107" s="81"/>
      <x:c r="E107" s="93" t="n">
        <x:f>IFERROR(VLOOKUP(D107,'Assumptions'!$A$19:$C$23,3,FALSE),0)</x:f>
        <x:v>0</x:v>
      </x:c>
      <x:c r="F107" s="94"/>
      <x:c r="G107" s="93" t="n">
        <x:f>IF(D107="",0,E107+F107)</x:f>
        <x:v>0</x:v>
      </x:c>
      <x:c r="H107" s="98" t="n">
        <x:f>IFERROR(VLOOKUP(D107,'Assumptions'!$A$19:$C$23,2,FALSE),0)</x:f>
        <x:v>0</x:v>
      </x:c>
      <x:c r="I107" s="93" t="n">
        <x:f>IF(D107="",0,H107*'Assumptions'!$B$10)</x:f>
        <x:v>0</x:v>
      </x:c>
      <x:c r="J107" s="337" t="n">
        <x:f>IF(D107="",0,G107-I107)</x:f>
        <x:v>0</x:v>
      </x:c>
      <x:c r="K107" s="331" t="n">
        <x:f>IF(G107=0,0,J107/G107)</x:f>
        <x:v>0</x:v>
      </x:c>
      <x:c r="L107" s="343" t="n">
        <x:f>IF(D107="",0,J107-I107*'Assumptions'!$B$11)</x:f>
        <x:v>0</x:v>
      </x:c>
      <x:c r="M107" s="80"/>
      <x:c r="N107" s="81"/>
    </x:row>
    <x:row r="108">
      <x:c r="A108" s="325"/>
      <x:c r="B108" s="328"/>
      <x:c r="C108" s="75"/>
      <x:c r="D108" s="81"/>
      <x:c r="E108" s="93" t="n">
        <x:f>IFERROR(VLOOKUP(D108,'Assumptions'!$A$19:$C$23,3,FALSE),0)</x:f>
        <x:v>0</x:v>
      </x:c>
      <x:c r="F108" s="94"/>
      <x:c r="G108" s="93" t="n">
        <x:f>IF(D108="",0,E108+F108)</x:f>
        <x:v>0</x:v>
      </x:c>
      <x:c r="H108" s="98" t="n">
        <x:f>IFERROR(VLOOKUP(D108,'Assumptions'!$A$19:$C$23,2,FALSE),0)</x:f>
        <x:v>0</x:v>
      </x:c>
      <x:c r="I108" s="93" t="n">
        <x:f>IF(D108="",0,H108*'Assumptions'!$B$10)</x:f>
        <x:v>0</x:v>
      </x:c>
      <x:c r="J108" s="337" t="n">
        <x:f>IF(D108="",0,G108-I108)</x:f>
        <x:v>0</x:v>
      </x:c>
      <x:c r="K108" s="331" t="n">
        <x:f>IF(G108=0,0,J108/G108)</x:f>
        <x:v>0</x:v>
      </x:c>
      <x:c r="L108" s="343" t="n">
        <x:f>IF(D108="",0,J108-I108*'Assumptions'!$B$11)</x:f>
        <x:v>0</x:v>
      </x:c>
      <x:c r="M108" s="80"/>
      <x:c r="N108" s="81"/>
    </x:row>
    <x:row r="109">
      <x:c r="A109" s="325"/>
      <x:c r="B109" s="328"/>
      <x:c r="C109" s="75"/>
      <x:c r="D109" s="81"/>
      <x:c r="E109" s="93" t="n">
        <x:f>IFERROR(VLOOKUP(D109,'Assumptions'!$A$19:$C$23,3,FALSE),0)</x:f>
        <x:v>0</x:v>
      </x:c>
      <x:c r="F109" s="94"/>
      <x:c r="G109" s="93" t="n">
        <x:f>IF(D109="",0,E109+F109)</x:f>
        <x:v>0</x:v>
      </x:c>
      <x:c r="H109" s="98" t="n">
        <x:f>IFERROR(VLOOKUP(D109,'Assumptions'!$A$19:$C$23,2,FALSE),0)</x:f>
        <x:v>0</x:v>
      </x:c>
      <x:c r="I109" s="93" t="n">
        <x:f>IF(D109="",0,H109*'Assumptions'!$B$10)</x:f>
        <x:v>0</x:v>
      </x:c>
      <x:c r="J109" s="337" t="n">
        <x:f>IF(D109="",0,G109-I109)</x:f>
        <x:v>0</x:v>
      </x:c>
      <x:c r="K109" s="331" t="n">
        <x:f>IF(G109=0,0,J109/G109)</x:f>
        <x:v>0</x:v>
      </x:c>
      <x:c r="L109" s="343" t="n">
        <x:f>IF(D109="",0,J109-I109*'Assumptions'!$B$11)</x:f>
        <x:v>0</x:v>
      </x:c>
      <x:c r="M109" s="80"/>
      <x:c r="N109" s="81"/>
    </x:row>
    <x:row r="110">
      <x:c r="A110" s="325"/>
      <x:c r="B110" s="328"/>
      <x:c r="C110" s="75"/>
      <x:c r="D110" s="81"/>
      <x:c r="E110" s="93" t="n">
        <x:f>IFERROR(VLOOKUP(D110,'Assumptions'!$A$19:$C$23,3,FALSE),0)</x:f>
        <x:v>0</x:v>
      </x:c>
      <x:c r="F110" s="94"/>
      <x:c r="G110" s="93" t="n">
        <x:f>IF(D110="",0,E110+F110)</x:f>
        <x:v>0</x:v>
      </x:c>
      <x:c r="H110" s="98" t="n">
        <x:f>IFERROR(VLOOKUP(D110,'Assumptions'!$A$19:$C$23,2,FALSE),0)</x:f>
        <x:v>0</x:v>
      </x:c>
      <x:c r="I110" s="93" t="n">
        <x:f>IF(D110="",0,H110*'Assumptions'!$B$10)</x:f>
        <x:v>0</x:v>
      </x:c>
      <x:c r="J110" s="337" t="n">
        <x:f>IF(D110="",0,G110-I110)</x:f>
        <x:v>0</x:v>
      </x:c>
      <x:c r="K110" s="331" t="n">
        <x:f>IF(G110=0,0,J110/G110)</x:f>
        <x:v>0</x:v>
      </x:c>
      <x:c r="L110" s="343" t="n">
        <x:f>IF(D110="",0,J110-I110*'Assumptions'!$B$11)</x:f>
        <x:v>0</x:v>
      </x:c>
      <x:c r="M110" s="80"/>
      <x:c r="N110" s="81"/>
    </x:row>
    <x:row r="111">
      <x:c r="A111" s="325"/>
      <x:c r="B111" s="328"/>
      <x:c r="C111" s="75"/>
      <x:c r="D111" s="81"/>
      <x:c r="E111" s="93" t="n">
        <x:f>IFERROR(VLOOKUP(D111,'Assumptions'!$A$19:$C$23,3,FALSE),0)</x:f>
        <x:v>0</x:v>
      </x:c>
      <x:c r="F111" s="94"/>
      <x:c r="G111" s="93" t="n">
        <x:f>IF(D111="",0,E111+F111)</x:f>
        <x:v>0</x:v>
      </x:c>
      <x:c r="H111" s="98" t="n">
        <x:f>IFERROR(VLOOKUP(D111,'Assumptions'!$A$19:$C$23,2,FALSE),0)</x:f>
        <x:v>0</x:v>
      </x:c>
      <x:c r="I111" s="93" t="n">
        <x:f>IF(D111="",0,H111*'Assumptions'!$B$10)</x:f>
        <x:v>0</x:v>
      </x:c>
      <x:c r="J111" s="337" t="n">
        <x:f>IF(D111="",0,G111-I111)</x:f>
        <x:v>0</x:v>
      </x:c>
      <x:c r="K111" s="331" t="n">
        <x:f>IF(G111=0,0,J111/G111)</x:f>
        <x:v>0</x:v>
      </x:c>
      <x:c r="L111" s="343" t="n">
        <x:f>IF(D111="",0,J111-I111*'Assumptions'!$B$11)</x:f>
        <x:v>0</x:v>
      </x:c>
      <x:c r="M111" s="80"/>
      <x:c r="N111" s="81"/>
    </x:row>
    <x:row r="112">
      <x:c r="A112" s="325"/>
      <x:c r="B112" s="328"/>
      <x:c r="C112" s="75"/>
      <x:c r="D112" s="81"/>
      <x:c r="E112" s="93" t="n">
        <x:f>IFERROR(VLOOKUP(D112,'Assumptions'!$A$19:$C$23,3,FALSE),0)</x:f>
        <x:v>0</x:v>
      </x:c>
      <x:c r="F112" s="94"/>
      <x:c r="G112" s="93" t="n">
        <x:f>IF(D112="",0,E112+F112)</x:f>
        <x:v>0</x:v>
      </x:c>
      <x:c r="H112" s="98" t="n">
        <x:f>IFERROR(VLOOKUP(D112,'Assumptions'!$A$19:$C$23,2,FALSE),0)</x:f>
        <x:v>0</x:v>
      </x:c>
      <x:c r="I112" s="93" t="n">
        <x:f>IF(D112="",0,H112*'Assumptions'!$B$10)</x:f>
        <x:v>0</x:v>
      </x:c>
      <x:c r="J112" s="337" t="n">
        <x:f>IF(D112="",0,G112-I112)</x:f>
        <x:v>0</x:v>
      </x:c>
      <x:c r="K112" s="331" t="n">
        <x:f>IF(G112=0,0,J112/G112)</x:f>
        <x:v>0</x:v>
      </x:c>
      <x:c r="L112" s="343" t="n">
        <x:f>IF(D112="",0,J112-I112*'Assumptions'!$B$11)</x:f>
        <x:v>0</x:v>
      </x:c>
      <x:c r="M112" s="80"/>
      <x:c r="N112" s="81"/>
    </x:row>
    <x:row r="113">
      <x:c r="A113" s="325"/>
      <x:c r="B113" s="328"/>
      <x:c r="C113" s="75"/>
      <x:c r="D113" s="81"/>
      <x:c r="E113" s="93" t="n">
        <x:f>IFERROR(VLOOKUP(D113,'Assumptions'!$A$19:$C$23,3,FALSE),0)</x:f>
        <x:v>0</x:v>
      </x:c>
      <x:c r="F113" s="94"/>
      <x:c r="G113" s="93" t="n">
        <x:f>IF(D113="",0,E113+F113)</x:f>
        <x:v>0</x:v>
      </x:c>
      <x:c r="H113" s="98" t="n">
        <x:f>IFERROR(VLOOKUP(D113,'Assumptions'!$A$19:$C$23,2,FALSE),0)</x:f>
        <x:v>0</x:v>
      </x:c>
      <x:c r="I113" s="93" t="n">
        <x:f>IF(D113="",0,H113*'Assumptions'!$B$10)</x:f>
        <x:v>0</x:v>
      </x:c>
      <x:c r="J113" s="337" t="n">
        <x:f>IF(D113="",0,G113-I113)</x:f>
        <x:v>0</x:v>
      </x:c>
      <x:c r="K113" s="331" t="n">
        <x:f>IF(G113=0,0,J113/G113)</x:f>
        <x:v>0</x:v>
      </x:c>
      <x:c r="L113" s="343" t="n">
        <x:f>IF(D113="",0,J113-I113*'Assumptions'!$B$11)</x:f>
        <x:v>0</x:v>
      </x:c>
      <x:c r="M113" s="80"/>
      <x:c r="N113" s="81"/>
    </x:row>
    <x:row r="114">
      <x:c r="A114" s="325"/>
      <x:c r="B114" s="328"/>
      <x:c r="C114" s="75"/>
      <x:c r="D114" s="81"/>
      <x:c r="E114" s="93" t="n">
        <x:f>IFERROR(VLOOKUP(D114,'Assumptions'!$A$19:$C$23,3,FALSE),0)</x:f>
        <x:v>0</x:v>
      </x:c>
      <x:c r="F114" s="94"/>
      <x:c r="G114" s="93" t="n">
        <x:f>IF(D114="",0,E114+F114)</x:f>
        <x:v>0</x:v>
      </x:c>
      <x:c r="H114" s="98" t="n">
        <x:f>IFERROR(VLOOKUP(D114,'Assumptions'!$A$19:$C$23,2,FALSE),0)</x:f>
        <x:v>0</x:v>
      </x:c>
      <x:c r="I114" s="93" t="n">
        <x:f>IF(D114="",0,H114*'Assumptions'!$B$10)</x:f>
        <x:v>0</x:v>
      </x:c>
      <x:c r="J114" s="337" t="n">
        <x:f>IF(D114="",0,G114-I114)</x:f>
        <x:v>0</x:v>
      </x:c>
      <x:c r="K114" s="331" t="n">
        <x:f>IF(G114=0,0,J114/G114)</x:f>
        <x:v>0</x:v>
      </x:c>
      <x:c r="L114" s="343" t="n">
        <x:f>IF(D114="",0,J114-I114*'Assumptions'!$B$11)</x:f>
        <x:v>0</x:v>
      </x:c>
      <x:c r="M114" s="80"/>
      <x:c r="N114" s="81"/>
    </x:row>
    <x:row r="115">
      <x:c r="A115" s="325"/>
      <x:c r="B115" s="328"/>
      <x:c r="C115" s="75"/>
      <x:c r="D115" s="81"/>
      <x:c r="E115" s="93" t="n">
        <x:f>IFERROR(VLOOKUP(D115,'Assumptions'!$A$19:$C$23,3,FALSE),0)</x:f>
        <x:v>0</x:v>
      </x:c>
      <x:c r="F115" s="94"/>
      <x:c r="G115" s="93" t="n">
        <x:f>IF(D115="",0,E115+F115)</x:f>
        <x:v>0</x:v>
      </x:c>
      <x:c r="H115" s="98" t="n">
        <x:f>IFERROR(VLOOKUP(D115,'Assumptions'!$A$19:$C$23,2,FALSE),0)</x:f>
        <x:v>0</x:v>
      </x:c>
      <x:c r="I115" s="93" t="n">
        <x:f>IF(D115="",0,H115*'Assumptions'!$B$10)</x:f>
        <x:v>0</x:v>
      </x:c>
      <x:c r="J115" s="337" t="n">
        <x:f>IF(D115="",0,G115-I115)</x:f>
        <x:v>0</x:v>
      </x:c>
      <x:c r="K115" s="331" t="n">
        <x:f>IF(G115=0,0,J115/G115)</x:f>
        <x:v>0</x:v>
      </x:c>
      <x:c r="L115" s="343" t="n">
        <x:f>IF(D115="",0,J115-I115*'Assumptions'!$B$11)</x:f>
        <x:v>0</x:v>
      </x:c>
      <x:c r="M115" s="80"/>
      <x:c r="N115" s="81"/>
    </x:row>
    <x:row r="116">
      <x:c r="A116" s="325"/>
      <x:c r="B116" s="328"/>
      <x:c r="C116" s="75"/>
      <x:c r="D116" s="81"/>
      <x:c r="E116" s="93" t="n">
        <x:f>IFERROR(VLOOKUP(D116,'Assumptions'!$A$19:$C$23,3,FALSE),0)</x:f>
        <x:v>0</x:v>
      </x:c>
      <x:c r="F116" s="94"/>
      <x:c r="G116" s="93" t="n">
        <x:f>IF(D116="",0,E116+F116)</x:f>
        <x:v>0</x:v>
      </x:c>
      <x:c r="H116" s="98" t="n">
        <x:f>IFERROR(VLOOKUP(D116,'Assumptions'!$A$19:$C$23,2,FALSE),0)</x:f>
        <x:v>0</x:v>
      </x:c>
      <x:c r="I116" s="93" t="n">
        <x:f>IF(D116="",0,H116*'Assumptions'!$B$10)</x:f>
        <x:v>0</x:v>
      </x:c>
      <x:c r="J116" s="337" t="n">
        <x:f>IF(D116="",0,G116-I116)</x:f>
        <x:v>0</x:v>
      </x:c>
      <x:c r="K116" s="331" t="n">
        <x:f>IF(G116=0,0,J116/G116)</x:f>
        <x:v>0</x:v>
      </x:c>
      <x:c r="L116" s="343" t="n">
        <x:f>IF(D116="",0,J116-I116*'Assumptions'!$B$11)</x:f>
        <x:v>0</x:v>
      </x:c>
      <x:c r="M116" s="80"/>
      <x:c r="N116" s="81"/>
    </x:row>
    <x:row r="117">
      <x:c r="A117" s="325"/>
      <x:c r="B117" s="328"/>
      <x:c r="C117" s="75"/>
      <x:c r="D117" s="81"/>
      <x:c r="E117" s="93" t="n">
        <x:f>IFERROR(VLOOKUP(D117,'Assumptions'!$A$19:$C$23,3,FALSE),0)</x:f>
        <x:v>0</x:v>
      </x:c>
      <x:c r="F117" s="94"/>
      <x:c r="G117" s="93" t="n">
        <x:f>IF(D117="",0,E117+F117)</x:f>
        <x:v>0</x:v>
      </x:c>
      <x:c r="H117" s="98" t="n">
        <x:f>IFERROR(VLOOKUP(D117,'Assumptions'!$A$19:$C$23,2,FALSE),0)</x:f>
        <x:v>0</x:v>
      </x:c>
      <x:c r="I117" s="93" t="n">
        <x:f>IF(D117="",0,H117*'Assumptions'!$B$10)</x:f>
        <x:v>0</x:v>
      </x:c>
      <x:c r="J117" s="337" t="n">
        <x:f>IF(D117="",0,G117-I117)</x:f>
        <x:v>0</x:v>
      </x:c>
      <x:c r="K117" s="331" t="n">
        <x:f>IF(G117=0,0,J117/G117)</x:f>
        <x:v>0</x:v>
      </x:c>
      <x:c r="L117" s="343" t="n">
        <x:f>IF(D117="",0,J117-I117*'Assumptions'!$B$11)</x:f>
        <x:v>0</x:v>
      </x:c>
      <x:c r="M117" s="80"/>
      <x:c r="N117" s="81"/>
    </x:row>
    <x:row r="118">
      <x:c r="A118" s="325"/>
      <x:c r="B118" s="328"/>
      <x:c r="C118" s="75"/>
      <x:c r="D118" s="81"/>
      <x:c r="E118" s="93" t="n">
        <x:f>IFERROR(VLOOKUP(D118,'Assumptions'!$A$19:$C$23,3,FALSE),0)</x:f>
        <x:v>0</x:v>
      </x:c>
      <x:c r="F118" s="94"/>
      <x:c r="G118" s="93" t="n">
        <x:f>IF(D118="",0,E118+F118)</x:f>
        <x:v>0</x:v>
      </x:c>
      <x:c r="H118" s="98" t="n">
        <x:f>IFERROR(VLOOKUP(D118,'Assumptions'!$A$19:$C$23,2,FALSE),0)</x:f>
        <x:v>0</x:v>
      </x:c>
      <x:c r="I118" s="93" t="n">
        <x:f>IF(D118="",0,H118*'Assumptions'!$B$10)</x:f>
        <x:v>0</x:v>
      </x:c>
      <x:c r="J118" s="337" t="n">
        <x:f>IF(D118="",0,G118-I118)</x:f>
        <x:v>0</x:v>
      </x:c>
      <x:c r="K118" s="331" t="n">
        <x:f>IF(G118=0,0,J118/G118)</x:f>
        <x:v>0</x:v>
      </x:c>
      <x:c r="L118" s="343" t="n">
        <x:f>IF(D118="",0,J118-I118*'Assumptions'!$B$11)</x:f>
        <x:v>0</x:v>
      </x:c>
      <x:c r="M118" s="80"/>
      <x:c r="N118" s="81"/>
    </x:row>
    <x:row r="119">
      <x:c r="A119" s="325"/>
      <x:c r="B119" s="328"/>
      <x:c r="C119" s="75"/>
      <x:c r="D119" s="81"/>
      <x:c r="E119" s="93" t="n">
        <x:f>IFERROR(VLOOKUP(D119,'Assumptions'!$A$19:$C$23,3,FALSE),0)</x:f>
        <x:v>0</x:v>
      </x:c>
      <x:c r="F119" s="94"/>
      <x:c r="G119" s="93" t="n">
        <x:f>IF(D119="",0,E119+F119)</x:f>
        <x:v>0</x:v>
      </x:c>
      <x:c r="H119" s="98" t="n">
        <x:f>IFERROR(VLOOKUP(D119,'Assumptions'!$A$19:$C$23,2,FALSE),0)</x:f>
        <x:v>0</x:v>
      </x:c>
      <x:c r="I119" s="93" t="n">
        <x:f>IF(D119="",0,H119*'Assumptions'!$B$10)</x:f>
        <x:v>0</x:v>
      </x:c>
      <x:c r="J119" s="337" t="n">
        <x:f>IF(D119="",0,G119-I119)</x:f>
        <x:v>0</x:v>
      </x:c>
      <x:c r="K119" s="331" t="n">
        <x:f>IF(G119=0,0,J119/G119)</x:f>
        <x:v>0</x:v>
      </x:c>
      <x:c r="L119" s="343" t="n">
        <x:f>IF(D119="",0,J119-I119*'Assumptions'!$B$11)</x:f>
        <x:v>0</x:v>
      </x:c>
      <x:c r="M119" s="80"/>
      <x:c r="N119" s="81"/>
    </x:row>
    <x:row r="120">
      <x:c r="A120" s="325"/>
      <x:c r="B120" s="328"/>
      <x:c r="C120" s="75"/>
      <x:c r="D120" s="81"/>
      <x:c r="E120" s="93" t="n">
        <x:f>IFERROR(VLOOKUP(D120,'Assumptions'!$A$19:$C$23,3,FALSE),0)</x:f>
        <x:v>0</x:v>
      </x:c>
      <x:c r="F120" s="94"/>
      <x:c r="G120" s="93" t="n">
        <x:f>IF(D120="",0,E120+F120)</x:f>
        <x:v>0</x:v>
      </x:c>
      <x:c r="H120" s="98" t="n">
        <x:f>IFERROR(VLOOKUP(D120,'Assumptions'!$A$19:$C$23,2,FALSE),0)</x:f>
        <x:v>0</x:v>
      </x:c>
      <x:c r="I120" s="93" t="n">
        <x:f>IF(D120="",0,H120*'Assumptions'!$B$10)</x:f>
        <x:v>0</x:v>
      </x:c>
      <x:c r="J120" s="337" t="n">
        <x:f>IF(D120="",0,G120-I120)</x:f>
        <x:v>0</x:v>
      </x:c>
      <x:c r="K120" s="331" t="n">
        <x:f>IF(G120=0,0,J120/G120)</x:f>
        <x:v>0</x:v>
      </x:c>
      <x:c r="L120" s="343" t="n">
        <x:f>IF(D120="",0,J120-I120*'Assumptions'!$B$11)</x:f>
        <x:v>0</x:v>
      </x:c>
      <x:c r="M120" s="80"/>
      <x:c r="N120" s="81"/>
    </x:row>
    <x:row r="121">
      <x:c r="A121" s="325"/>
      <x:c r="B121" s="328"/>
      <x:c r="C121" s="75"/>
      <x:c r="D121" s="81"/>
      <x:c r="E121" s="93" t="n">
        <x:f>IFERROR(VLOOKUP(D121,'Assumptions'!$A$19:$C$23,3,FALSE),0)</x:f>
        <x:v>0</x:v>
      </x:c>
      <x:c r="F121" s="94"/>
      <x:c r="G121" s="93" t="n">
        <x:f>IF(D121="",0,E121+F121)</x:f>
        <x:v>0</x:v>
      </x:c>
      <x:c r="H121" s="98" t="n">
        <x:f>IFERROR(VLOOKUP(D121,'Assumptions'!$A$19:$C$23,2,FALSE),0)</x:f>
        <x:v>0</x:v>
      </x:c>
      <x:c r="I121" s="93" t="n">
        <x:f>IF(D121="",0,H121*'Assumptions'!$B$10)</x:f>
        <x:v>0</x:v>
      </x:c>
      <x:c r="J121" s="337" t="n">
        <x:f>IF(D121="",0,G121-I121)</x:f>
        <x:v>0</x:v>
      </x:c>
      <x:c r="K121" s="331" t="n">
        <x:f>IF(G121=0,0,J121/G121)</x:f>
        <x:v>0</x:v>
      </x:c>
      <x:c r="L121" s="343" t="n">
        <x:f>IF(D121="",0,J121-I121*'Assumptions'!$B$11)</x:f>
        <x:v>0</x:v>
      </x:c>
      <x:c r="M121" s="80"/>
      <x:c r="N121" s="81"/>
    </x:row>
    <x:row r="122">
      <x:c r="A122" s="325"/>
      <x:c r="B122" s="328"/>
      <x:c r="C122" s="75"/>
      <x:c r="D122" s="81"/>
      <x:c r="E122" s="93" t="n">
        <x:f>IFERROR(VLOOKUP(D122,'Assumptions'!$A$19:$C$23,3,FALSE),0)</x:f>
        <x:v>0</x:v>
      </x:c>
      <x:c r="F122" s="94"/>
      <x:c r="G122" s="93" t="n">
        <x:f>IF(D122="",0,E122+F122)</x:f>
        <x:v>0</x:v>
      </x:c>
      <x:c r="H122" s="98" t="n">
        <x:f>IFERROR(VLOOKUP(D122,'Assumptions'!$A$19:$C$23,2,FALSE),0)</x:f>
        <x:v>0</x:v>
      </x:c>
      <x:c r="I122" s="93" t="n">
        <x:f>IF(D122="",0,H122*'Assumptions'!$B$10)</x:f>
        <x:v>0</x:v>
      </x:c>
      <x:c r="J122" s="337" t="n">
        <x:f>IF(D122="",0,G122-I122)</x:f>
        <x:v>0</x:v>
      </x:c>
      <x:c r="K122" s="331" t="n">
        <x:f>IF(G122=0,0,J122/G122)</x:f>
        <x:v>0</x:v>
      </x:c>
      <x:c r="L122" s="343" t="n">
        <x:f>IF(D122="",0,J122-I122*'Assumptions'!$B$11)</x:f>
        <x:v>0</x:v>
      </x:c>
      <x:c r="M122" s="80"/>
      <x:c r="N122" s="81"/>
    </x:row>
    <x:row r="123">
      <x:c r="A123" s="325"/>
      <x:c r="B123" s="328"/>
      <x:c r="C123" s="75"/>
      <x:c r="D123" s="81"/>
      <x:c r="E123" s="93" t="n">
        <x:f>IFERROR(VLOOKUP(D123,'Assumptions'!$A$19:$C$23,3,FALSE),0)</x:f>
        <x:v>0</x:v>
      </x:c>
      <x:c r="F123" s="94"/>
      <x:c r="G123" s="93" t="n">
        <x:f>IF(D123="",0,E123+F123)</x:f>
        <x:v>0</x:v>
      </x:c>
      <x:c r="H123" s="98" t="n">
        <x:f>IFERROR(VLOOKUP(D123,'Assumptions'!$A$19:$C$23,2,FALSE),0)</x:f>
        <x:v>0</x:v>
      </x:c>
      <x:c r="I123" s="93" t="n">
        <x:f>IF(D123="",0,H123*'Assumptions'!$B$10)</x:f>
        <x:v>0</x:v>
      </x:c>
      <x:c r="J123" s="337" t="n">
        <x:f>IF(D123="",0,G123-I123)</x:f>
        <x:v>0</x:v>
      </x:c>
      <x:c r="K123" s="331" t="n">
        <x:f>IF(G123=0,0,J123/G123)</x:f>
        <x:v>0</x:v>
      </x:c>
      <x:c r="L123" s="343" t="n">
        <x:f>IF(D123="",0,J123-I123*'Assumptions'!$B$11)</x:f>
        <x:v>0</x:v>
      </x:c>
      <x:c r="M123" s="80"/>
      <x:c r="N123" s="81"/>
    </x:row>
    <x:row r="124">
      <x:c r="A124" s="325"/>
      <x:c r="B124" s="328"/>
      <x:c r="C124" s="75"/>
      <x:c r="D124" s="81"/>
      <x:c r="E124" s="93" t="n">
        <x:f>IFERROR(VLOOKUP(D124,'Assumptions'!$A$19:$C$23,3,FALSE),0)</x:f>
        <x:v>0</x:v>
      </x:c>
      <x:c r="F124" s="94"/>
      <x:c r="G124" s="93" t="n">
        <x:f>IF(D124="",0,E124+F124)</x:f>
        <x:v>0</x:v>
      </x:c>
      <x:c r="H124" s="98" t="n">
        <x:f>IFERROR(VLOOKUP(D124,'Assumptions'!$A$19:$C$23,2,FALSE),0)</x:f>
        <x:v>0</x:v>
      </x:c>
      <x:c r="I124" s="93" t="n">
        <x:f>IF(D124="",0,H124*'Assumptions'!$B$10)</x:f>
        <x:v>0</x:v>
      </x:c>
      <x:c r="J124" s="337" t="n">
        <x:f>IF(D124="",0,G124-I124)</x:f>
        <x:v>0</x:v>
      </x:c>
      <x:c r="K124" s="331" t="n">
        <x:f>IF(G124=0,0,J124/G124)</x:f>
        <x:v>0</x:v>
      </x:c>
      <x:c r="L124" s="343" t="n">
        <x:f>IF(D124="",0,J124-I124*'Assumptions'!$B$11)</x:f>
        <x:v>0</x:v>
      </x:c>
      <x:c r="M124" s="80"/>
      <x:c r="N124" s="81"/>
    </x:row>
    <x:row r="125">
      <x:c r="A125" s="325"/>
      <x:c r="B125" s="328"/>
      <x:c r="C125" s="75"/>
      <x:c r="D125" s="81"/>
      <x:c r="E125" s="93" t="n">
        <x:f>IFERROR(VLOOKUP(D125,'Assumptions'!$A$19:$C$23,3,FALSE),0)</x:f>
        <x:v>0</x:v>
      </x:c>
      <x:c r="F125" s="94"/>
      <x:c r="G125" s="93" t="n">
        <x:f>IF(D125="",0,E125+F125)</x:f>
        <x:v>0</x:v>
      </x:c>
      <x:c r="H125" s="98" t="n">
        <x:f>IFERROR(VLOOKUP(D125,'Assumptions'!$A$19:$C$23,2,FALSE),0)</x:f>
        <x:v>0</x:v>
      </x:c>
      <x:c r="I125" s="93" t="n">
        <x:f>IF(D125="",0,H125*'Assumptions'!$B$10)</x:f>
        <x:v>0</x:v>
      </x:c>
      <x:c r="J125" s="337" t="n">
        <x:f>IF(D125="",0,G125-I125)</x:f>
        <x:v>0</x:v>
      </x:c>
      <x:c r="K125" s="331" t="n">
        <x:f>IF(G125=0,0,J125/G125)</x:f>
        <x:v>0</x:v>
      </x:c>
      <x:c r="L125" s="343" t="n">
        <x:f>IF(D125="",0,J125-I125*'Assumptions'!$B$11)</x:f>
        <x:v>0</x:v>
      </x:c>
      <x:c r="M125" s="80"/>
      <x:c r="N125" s="81"/>
    </x:row>
    <x:row r="126">
      <x:c r="A126" s="325"/>
      <x:c r="B126" s="328"/>
      <x:c r="C126" s="75"/>
      <x:c r="D126" s="81"/>
      <x:c r="E126" s="93" t="n">
        <x:f>IFERROR(VLOOKUP(D126,'Assumptions'!$A$19:$C$23,3,FALSE),0)</x:f>
        <x:v>0</x:v>
      </x:c>
      <x:c r="F126" s="94"/>
      <x:c r="G126" s="93" t="n">
        <x:f>IF(D126="",0,E126+F126)</x:f>
        <x:v>0</x:v>
      </x:c>
      <x:c r="H126" s="98" t="n">
        <x:f>IFERROR(VLOOKUP(D126,'Assumptions'!$A$19:$C$23,2,FALSE),0)</x:f>
        <x:v>0</x:v>
      </x:c>
      <x:c r="I126" s="93" t="n">
        <x:f>IF(D126="",0,H126*'Assumptions'!$B$10)</x:f>
        <x:v>0</x:v>
      </x:c>
      <x:c r="J126" s="337" t="n">
        <x:f>IF(D126="",0,G126-I126)</x:f>
        <x:v>0</x:v>
      </x:c>
      <x:c r="K126" s="331" t="n">
        <x:f>IF(G126=0,0,J126/G126)</x:f>
        <x:v>0</x:v>
      </x:c>
      <x:c r="L126" s="343" t="n">
        <x:f>IF(D126="",0,J126-I126*'Assumptions'!$B$11)</x:f>
        <x:v>0</x:v>
      </x:c>
      <x:c r="M126" s="80"/>
      <x:c r="N126" s="81"/>
    </x:row>
    <x:row r="127">
      <x:c r="A127" s="325"/>
      <x:c r="B127" s="328"/>
      <x:c r="C127" s="75"/>
      <x:c r="D127" s="81"/>
      <x:c r="E127" s="93" t="n">
        <x:f>IFERROR(VLOOKUP(D127,'Assumptions'!$A$19:$C$23,3,FALSE),0)</x:f>
        <x:v>0</x:v>
      </x:c>
      <x:c r="F127" s="94"/>
      <x:c r="G127" s="93" t="n">
        <x:f>IF(D127="",0,E127+F127)</x:f>
        <x:v>0</x:v>
      </x:c>
      <x:c r="H127" s="98" t="n">
        <x:f>IFERROR(VLOOKUP(D127,'Assumptions'!$A$19:$C$23,2,FALSE),0)</x:f>
        <x:v>0</x:v>
      </x:c>
      <x:c r="I127" s="93" t="n">
        <x:f>IF(D127="",0,H127*'Assumptions'!$B$10)</x:f>
        <x:v>0</x:v>
      </x:c>
      <x:c r="J127" s="337" t="n">
        <x:f>IF(D127="",0,G127-I127)</x:f>
        <x:v>0</x:v>
      </x:c>
      <x:c r="K127" s="331" t="n">
        <x:f>IF(G127=0,0,J127/G127)</x:f>
        <x:v>0</x:v>
      </x:c>
      <x:c r="L127" s="343" t="n">
        <x:f>IF(D127="",0,J127-I127*'Assumptions'!$B$11)</x:f>
        <x:v>0</x:v>
      </x:c>
      <x:c r="M127" s="80"/>
      <x:c r="N127" s="81"/>
    </x:row>
    <x:row r="128">
      <x:c r="A128" s="325"/>
      <x:c r="B128" s="328"/>
      <x:c r="C128" s="75"/>
      <x:c r="D128" s="81"/>
      <x:c r="E128" s="93" t="n">
        <x:f>IFERROR(VLOOKUP(D128,'Assumptions'!$A$19:$C$23,3,FALSE),0)</x:f>
        <x:v>0</x:v>
      </x:c>
      <x:c r="F128" s="94"/>
      <x:c r="G128" s="93" t="n">
        <x:f>IF(D128="",0,E128+F128)</x:f>
        <x:v>0</x:v>
      </x:c>
      <x:c r="H128" s="98" t="n">
        <x:f>IFERROR(VLOOKUP(D128,'Assumptions'!$A$19:$C$23,2,FALSE),0)</x:f>
        <x:v>0</x:v>
      </x:c>
      <x:c r="I128" s="93" t="n">
        <x:f>IF(D128="",0,H128*'Assumptions'!$B$10)</x:f>
        <x:v>0</x:v>
      </x:c>
      <x:c r="J128" s="337" t="n">
        <x:f>IF(D128="",0,G128-I128)</x:f>
        <x:v>0</x:v>
      </x:c>
      <x:c r="K128" s="331" t="n">
        <x:f>IF(G128=0,0,J128/G128)</x:f>
        <x:v>0</x:v>
      </x:c>
      <x:c r="L128" s="343" t="n">
        <x:f>IF(D128="",0,J128-I128*'Assumptions'!$B$11)</x:f>
        <x:v>0</x:v>
      </x:c>
      <x:c r="M128" s="80"/>
      <x:c r="N128" s="81"/>
    </x:row>
    <x:row r="129">
      <x:c r="A129" s="325"/>
      <x:c r="B129" s="328"/>
      <x:c r="C129" s="75"/>
      <x:c r="D129" s="81"/>
      <x:c r="E129" s="93" t="n">
        <x:f>IFERROR(VLOOKUP(D129,'Assumptions'!$A$19:$C$23,3,FALSE),0)</x:f>
        <x:v>0</x:v>
      </x:c>
      <x:c r="F129" s="94"/>
      <x:c r="G129" s="93" t="n">
        <x:f>IF(D129="",0,E129+F129)</x:f>
        <x:v>0</x:v>
      </x:c>
      <x:c r="H129" s="98" t="n">
        <x:f>IFERROR(VLOOKUP(D129,'Assumptions'!$A$19:$C$23,2,FALSE),0)</x:f>
        <x:v>0</x:v>
      </x:c>
      <x:c r="I129" s="93" t="n">
        <x:f>IF(D129="",0,H129*'Assumptions'!$B$10)</x:f>
        <x:v>0</x:v>
      </x:c>
      <x:c r="J129" s="337" t="n">
        <x:f>IF(D129="",0,G129-I129)</x:f>
        <x:v>0</x:v>
      </x:c>
      <x:c r="K129" s="331" t="n">
        <x:f>IF(G129=0,0,J129/G129)</x:f>
        <x:v>0</x:v>
      </x:c>
      <x:c r="L129" s="343" t="n">
        <x:f>IF(D129="",0,J129-I129*'Assumptions'!$B$11)</x:f>
        <x:v>0</x:v>
      </x:c>
      <x:c r="M129" s="80"/>
      <x:c r="N129" s="81"/>
    </x:row>
    <x:row r="130">
      <x:c r="A130" s="325"/>
      <x:c r="B130" s="328"/>
      <x:c r="C130" s="75"/>
      <x:c r="D130" s="81"/>
      <x:c r="E130" s="93" t="n">
        <x:f>IFERROR(VLOOKUP(D130,'Assumptions'!$A$19:$C$23,3,FALSE),0)</x:f>
        <x:v>0</x:v>
      </x:c>
      <x:c r="F130" s="94"/>
      <x:c r="G130" s="93" t="n">
        <x:f>IF(D130="",0,E130+F130)</x:f>
        <x:v>0</x:v>
      </x:c>
      <x:c r="H130" s="98" t="n">
        <x:f>IFERROR(VLOOKUP(D130,'Assumptions'!$A$19:$C$23,2,FALSE),0)</x:f>
        <x:v>0</x:v>
      </x:c>
      <x:c r="I130" s="93" t="n">
        <x:f>IF(D130="",0,H130*'Assumptions'!$B$10)</x:f>
        <x:v>0</x:v>
      </x:c>
      <x:c r="J130" s="337" t="n">
        <x:f>IF(D130="",0,G130-I130)</x:f>
        <x:v>0</x:v>
      </x:c>
      <x:c r="K130" s="331" t="n">
        <x:f>IF(G130=0,0,J130/G130)</x:f>
        <x:v>0</x:v>
      </x:c>
      <x:c r="L130" s="343" t="n">
        <x:f>IF(D130="",0,J130-I130*'Assumptions'!$B$11)</x:f>
        <x:v>0</x:v>
      </x:c>
      <x:c r="M130" s="80"/>
      <x:c r="N130" s="81"/>
    </x:row>
    <x:row r="131">
      <x:c r="A131" s="325"/>
      <x:c r="B131" s="328"/>
      <x:c r="C131" s="75"/>
      <x:c r="D131" s="81"/>
      <x:c r="E131" s="93" t="n">
        <x:f>IFERROR(VLOOKUP(D131,'Assumptions'!$A$19:$C$23,3,FALSE),0)</x:f>
        <x:v>0</x:v>
      </x:c>
      <x:c r="F131" s="94"/>
      <x:c r="G131" s="93" t="n">
        <x:f>IF(D131="",0,E131+F131)</x:f>
        <x:v>0</x:v>
      </x:c>
      <x:c r="H131" s="98" t="n">
        <x:f>IFERROR(VLOOKUP(D131,'Assumptions'!$A$19:$C$23,2,FALSE),0)</x:f>
        <x:v>0</x:v>
      </x:c>
      <x:c r="I131" s="93" t="n">
        <x:f>IF(D131="",0,H131*'Assumptions'!$B$10)</x:f>
        <x:v>0</x:v>
      </x:c>
      <x:c r="J131" s="337" t="n">
        <x:f>IF(D131="",0,G131-I131)</x:f>
        <x:v>0</x:v>
      </x:c>
      <x:c r="K131" s="331" t="n">
        <x:f>IF(G131=0,0,J131/G131)</x:f>
        <x:v>0</x:v>
      </x:c>
      <x:c r="L131" s="343" t="n">
        <x:f>IF(D131="",0,J131-I131*'Assumptions'!$B$11)</x:f>
        <x:v>0</x:v>
      </x:c>
      <x:c r="M131" s="80"/>
      <x:c r="N131" s="81"/>
    </x:row>
    <x:row r="132">
      <x:c r="A132" s="325"/>
      <x:c r="B132" s="328"/>
      <x:c r="C132" s="75"/>
      <x:c r="D132" s="81"/>
      <x:c r="E132" s="93" t="n">
        <x:f>IFERROR(VLOOKUP(D132,'Assumptions'!$A$19:$C$23,3,FALSE),0)</x:f>
        <x:v>0</x:v>
      </x:c>
      <x:c r="F132" s="94"/>
      <x:c r="G132" s="93" t="n">
        <x:f>IF(D132="",0,E132+F132)</x:f>
        <x:v>0</x:v>
      </x:c>
      <x:c r="H132" s="98" t="n">
        <x:f>IFERROR(VLOOKUP(D132,'Assumptions'!$A$19:$C$23,2,FALSE),0)</x:f>
        <x:v>0</x:v>
      </x:c>
      <x:c r="I132" s="93" t="n">
        <x:f>IF(D132="",0,H132*'Assumptions'!$B$10)</x:f>
        <x:v>0</x:v>
      </x:c>
      <x:c r="J132" s="337" t="n">
        <x:f>IF(D132="",0,G132-I132)</x:f>
        <x:v>0</x:v>
      </x:c>
      <x:c r="K132" s="331" t="n">
        <x:f>IF(G132=0,0,J132/G132)</x:f>
        <x:v>0</x:v>
      </x:c>
      <x:c r="L132" s="343" t="n">
        <x:f>IF(D132="",0,J132-I132*'Assumptions'!$B$11)</x:f>
        <x:v>0</x:v>
      </x:c>
      <x:c r="M132" s="80"/>
      <x:c r="N132" s="81"/>
    </x:row>
    <x:row r="133">
      <x:c r="A133" s="325"/>
      <x:c r="B133" s="328"/>
      <x:c r="C133" s="75"/>
      <x:c r="D133" s="81"/>
      <x:c r="E133" s="93" t="n">
        <x:f>IFERROR(VLOOKUP(D133,'Assumptions'!$A$19:$C$23,3,FALSE),0)</x:f>
        <x:v>0</x:v>
      </x:c>
      <x:c r="F133" s="94"/>
      <x:c r="G133" s="93" t="n">
        <x:f>IF(D133="",0,E133+F133)</x:f>
        <x:v>0</x:v>
      </x:c>
      <x:c r="H133" s="98" t="n">
        <x:f>IFERROR(VLOOKUP(D133,'Assumptions'!$A$19:$C$23,2,FALSE),0)</x:f>
        <x:v>0</x:v>
      </x:c>
      <x:c r="I133" s="93" t="n">
        <x:f>IF(D133="",0,H133*'Assumptions'!$B$10)</x:f>
        <x:v>0</x:v>
      </x:c>
      <x:c r="J133" s="337" t="n">
        <x:f>IF(D133="",0,G133-I133)</x:f>
        <x:v>0</x:v>
      </x:c>
      <x:c r="K133" s="331" t="n">
        <x:f>IF(G133=0,0,J133/G133)</x:f>
        <x:v>0</x:v>
      </x:c>
      <x:c r="L133" s="343" t="n">
        <x:f>IF(D133="",0,J133-I133*'Assumptions'!$B$11)</x:f>
        <x:v>0</x:v>
      </x:c>
      <x:c r="M133" s="80"/>
      <x:c r="N133" s="81"/>
    </x:row>
    <x:row r="134">
      <x:c r="A134" s="325"/>
      <x:c r="B134" s="328"/>
      <x:c r="C134" s="75"/>
      <x:c r="D134" s="81"/>
      <x:c r="E134" s="93" t="n">
        <x:f>IFERROR(VLOOKUP(D134,'Assumptions'!$A$19:$C$23,3,FALSE),0)</x:f>
        <x:v>0</x:v>
      </x:c>
      <x:c r="F134" s="94"/>
      <x:c r="G134" s="93" t="n">
        <x:f>IF(D134="",0,E134+F134)</x:f>
        <x:v>0</x:v>
      </x:c>
      <x:c r="H134" s="98" t="n">
        <x:f>IFERROR(VLOOKUP(D134,'Assumptions'!$A$19:$C$23,2,FALSE),0)</x:f>
        <x:v>0</x:v>
      </x:c>
      <x:c r="I134" s="93" t="n">
        <x:f>IF(D134="",0,H134*'Assumptions'!$B$10)</x:f>
        <x:v>0</x:v>
      </x:c>
      <x:c r="J134" s="337" t="n">
        <x:f>IF(D134="",0,G134-I134)</x:f>
        <x:v>0</x:v>
      </x:c>
      <x:c r="K134" s="331" t="n">
        <x:f>IF(G134=0,0,J134/G134)</x:f>
        <x:v>0</x:v>
      </x:c>
      <x:c r="L134" s="343" t="n">
        <x:f>IF(D134="",0,J134-I134*'Assumptions'!$B$11)</x:f>
        <x:v>0</x:v>
      </x:c>
      <x:c r="M134" s="80"/>
      <x:c r="N134" s="81"/>
    </x:row>
    <x:row r="135">
      <x:c r="A135" s="325"/>
      <x:c r="B135" s="328"/>
      <x:c r="C135" s="75"/>
      <x:c r="D135" s="81"/>
      <x:c r="E135" s="93" t="n">
        <x:f>IFERROR(VLOOKUP(D135,'Assumptions'!$A$19:$C$23,3,FALSE),0)</x:f>
        <x:v>0</x:v>
      </x:c>
      <x:c r="F135" s="94"/>
      <x:c r="G135" s="93" t="n">
        <x:f>IF(D135="",0,E135+F135)</x:f>
        <x:v>0</x:v>
      </x:c>
      <x:c r="H135" s="98" t="n">
        <x:f>IFERROR(VLOOKUP(D135,'Assumptions'!$A$19:$C$23,2,FALSE),0)</x:f>
        <x:v>0</x:v>
      </x:c>
      <x:c r="I135" s="93" t="n">
        <x:f>IF(D135="",0,H135*'Assumptions'!$B$10)</x:f>
        <x:v>0</x:v>
      </x:c>
      <x:c r="J135" s="337" t="n">
        <x:f>IF(D135="",0,G135-I135)</x:f>
        <x:v>0</x:v>
      </x:c>
      <x:c r="K135" s="331" t="n">
        <x:f>IF(G135=0,0,J135/G135)</x:f>
        <x:v>0</x:v>
      </x:c>
      <x:c r="L135" s="343" t="n">
        <x:f>IF(D135="",0,J135-I135*'Assumptions'!$B$11)</x:f>
        <x:v>0</x:v>
      </x:c>
      <x:c r="M135" s="80"/>
      <x:c r="N135" s="81"/>
    </x:row>
    <x:row r="136">
      <x:c r="A136" s="325"/>
      <x:c r="B136" s="328"/>
      <x:c r="C136" s="75"/>
      <x:c r="D136" s="81"/>
      <x:c r="E136" s="93" t="n">
        <x:f>IFERROR(VLOOKUP(D136,'Assumptions'!$A$19:$C$23,3,FALSE),0)</x:f>
        <x:v>0</x:v>
      </x:c>
      <x:c r="F136" s="94"/>
      <x:c r="G136" s="93" t="n">
        <x:f>IF(D136="",0,E136+F136)</x:f>
        <x:v>0</x:v>
      </x:c>
      <x:c r="H136" s="98" t="n">
        <x:f>IFERROR(VLOOKUP(D136,'Assumptions'!$A$19:$C$23,2,FALSE),0)</x:f>
        <x:v>0</x:v>
      </x:c>
      <x:c r="I136" s="93" t="n">
        <x:f>IF(D136="",0,H136*'Assumptions'!$B$10)</x:f>
        <x:v>0</x:v>
      </x:c>
      <x:c r="J136" s="337" t="n">
        <x:f>IF(D136="",0,G136-I136)</x:f>
        <x:v>0</x:v>
      </x:c>
      <x:c r="K136" s="331" t="n">
        <x:f>IF(G136=0,0,J136/G136)</x:f>
        <x:v>0</x:v>
      </x:c>
      <x:c r="L136" s="343" t="n">
        <x:f>IF(D136="",0,J136-I136*'Assumptions'!$B$11)</x:f>
        <x:v>0</x:v>
      </x:c>
      <x:c r="M136" s="80"/>
      <x:c r="N136" s="81"/>
    </x:row>
    <x:row r="137">
      <x:c r="A137" s="325"/>
      <x:c r="B137" s="328"/>
      <x:c r="C137" s="75"/>
      <x:c r="D137" s="81"/>
      <x:c r="E137" s="93" t="n">
        <x:f>IFERROR(VLOOKUP(D137,'Assumptions'!$A$19:$C$23,3,FALSE),0)</x:f>
        <x:v>0</x:v>
      </x:c>
      <x:c r="F137" s="94"/>
      <x:c r="G137" s="93" t="n">
        <x:f>IF(D137="",0,E137+F137)</x:f>
        <x:v>0</x:v>
      </x:c>
      <x:c r="H137" s="98" t="n">
        <x:f>IFERROR(VLOOKUP(D137,'Assumptions'!$A$19:$C$23,2,FALSE),0)</x:f>
        <x:v>0</x:v>
      </x:c>
      <x:c r="I137" s="93" t="n">
        <x:f>IF(D137="",0,H137*'Assumptions'!$B$10)</x:f>
        <x:v>0</x:v>
      </x:c>
      <x:c r="J137" s="337" t="n">
        <x:f>IF(D137="",0,G137-I137)</x:f>
        <x:v>0</x:v>
      </x:c>
      <x:c r="K137" s="331" t="n">
        <x:f>IF(G137=0,0,J137/G137)</x:f>
        <x:v>0</x:v>
      </x:c>
      <x:c r="L137" s="343" t="n">
        <x:f>IF(D137="",0,J137-I137*'Assumptions'!$B$11)</x:f>
        <x:v>0</x:v>
      </x:c>
      <x:c r="M137" s="80"/>
      <x:c r="N137" s="81"/>
    </x:row>
    <x:row r="138">
      <x:c r="A138" s="325"/>
      <x:c r="B138" s="328"/>
      <x:c r="C138" s="75"/>
      <x:c r="D138" s="81"/>
      <x:c r="E138" s="93" t="n">
        <x:f>IFERROR(VLOOKUP(D138,'Assumptions'!$A$19:$C$23,3,FALSE),0)</x:f>
        <x:v>0</x:v>
      </x:c>
      <x:c r="F138" s="94"/>
      <x:c r="G138" s="93" t="n">
        <x:f>IF(D138="",0,E138+F138)</x:f>
        <x:v>0</x:v>
      </x:c>
      <x:c r="H138" s="98" t="n">
        <x:f>IFERROR(VLOOKUP(D138,'Assumptions'!$A$19:$C$23,2,FALSE),0)</x:f>
        <x:v>0</x:v>
      </x:c>
      <x:c r="I138" s="93" t="n">
        <x:f>IF(D138="",0,H138*'Assumptions'!$B$10)</x:f>
        <x:v>0</x:v>
      </x:c>
      <x:c r="J138" s="337" t="n">
        <x:f>IF(D138="",0,G138-I138)</x:f>
        <x:v>0</x:v>
      </x:c>
      <x:c r="K138" s="331" t="n">
        <x:f>IF(G138=0,0,J138/G138)</x:f>
        <x:v>0</x:v>
      </x:c>
      <x:c r="L138" s="343" t="n">
        <x:f>IF(D138="",0,J138-I138*'Assumptions'!$B$11)</x:f>
        <x:v>0</x:v>
      </x:c>
      <x:c r="M138" s="80"/>
      <x:c r="N138" s="81"/>
    </x:row>
    <x:row r="139">
      <x:c r="A139" s="325"/>
      <x:c r="B139" s="328"/>
      <x:c r="C139" s="75"/>
      <x:c r="D139" s="81"/>
      <x:c r="E139" s="93" t="n">
        <x:f>IFERROR(VLOOKUP(D139,'Assumptions'!$A$19:$C$23,3,FALSE),0)</x:f>
        <x:v>0</x:v>
      </x:c>
      <x:c r="F139" s="94"/>
      <x:c r="G139" s="93" t="n">
        <x:f>IF(D139="",0,E139+F139)</x:f>
        <x:v>0</x:v>
      </x:c>
      <x:c r="H139" s="98" t="n">
        <x:f>IFERROR(VLOOKUP(D139,'Assumptions'!$A$19:$C$23,2,FALSE),0)</x:f>
        <x:v>0</x:v>
      </x:c>
      <x:c r="I139" s="93" t="n">
        <x:f>IF(D139="",0,H139*'Assumptions'!$B$10)</x:f>
        <x:v>0</x:v>
      </x:c>
      <x:c r="J139" s="337" t="n">
        <x:f>IF(D139="",0,G139-I139)</x:f>
        <x:v>0</x:v>
      </x:c>
      <x:c r="K139" s="331" t="n">
        <x:f>IF(G139=0,0,J139/G139)</x:f>
        <x:v>0</x:v>
      </x:c>
      <x:c r="L139" s="343" t="n">
        <x:f>IF(D139="",0,J139-I139*'Assumptions'!$B$11)</x:f>
        <x:v>0</x:v>
      </x:c>
      <x:c r="M139" s="80"/>
      <x:c r="N139" s="81"/>
    </x:row>
    <x:row r="140">
      <x:c r="A140" s="325"/>
      <x:c r="B140" s="328"/>
      <x:c r="C140" s="75"/>
      <x:c r="D140" s="81"/>
      <x:c r="E140" s="93" t="n">
        <x:f>IFERROR(VLOOKUP(D140,'Assumptions'!$A$19:$C$23,3,FALSE),0)</x:f>
        <x:v>0</x:v>
      </x:c>
      <x:c r="F140" s="94"/>
      <x:c r="G140" s="93" t="n">
        <x:f>IF(D140="",0,E140+F140)</x:f>
        <x:v>0</x:v>
      </x:c>
      <x:c r="H140" s="98" t="n">
        <x:f>IFERROR(VLOOKUP(D140,'Assumptions'!$A$19:$C$23,2,FALSE),0)</x:f>
        <x:v>0</x:v>
      </x:c>
      <x:c r="I140" s="93" t="n">
        <x:f>IF(D140="",0,H140*'Assumptions'!$B$10)</x:f>
        <x:v>0</x:v>
      </x:c>
      <x:c r="J140" s="337" t="n">
        <x:f>IF(D140="",0,G140-I140)</x:f>
        <x:v>0</x:v>
      </x:c>
      <x:c r="K140" s="331" t="n">
        <x:f>IF(G140=0,0,J140/G140)</x:f>
        <x:v>0</x:v>
      </x:c>
      <x:c r="L140" s="343" t="n">
        <x:f>IF(D140="",0,J140-I140*'Assumptions'!$B$11)</x:f>
        <x:v>0</x:v>
      </x:c>
      <x:c r="M140" s="80"/>
      <x:c r="N140" s="81"/>
    </x:row>
    <x:row r="141">
      <x:c r="A141" s="325"/>
      <x:c r="B141" s="328"/>
      <x:c r="C141" s="75"/>
      <x:c r="D141" s="81"/>
      <x:c r="E141" s="93" t="n">
        <x:f>IFERROR(VLOOKUP(D141,'Assumptions'!$A$19:$C$23,3,FALSE),0)</x:f>
        <x:v>0</x:v>
      </x:c>
      <x:c r="F141" s="94"/>
      <x:c r="G141" s="93" t="n">
        <x:f>IF(D141="",0,E141+F141)</x:f>
        <x:v>0</x:v>
      </x:c>
      <x:c r="H141" s="98" t="n">
        <x:f>IFERROR(VLOOKUP(D141,'Assumptions'!$A$19:$C$23,2,FALSE),0)</x:f>
        <x:v>0</x:v>
      </x:c>
      <x:c r="I141" s="93" t="n">
        <x:f>IF(D141="",0,H141*'Assumptions'!$B$10)</x:f>
        <x:v>0</x:v>
      </x:c>
      <x:c r="J141" s="337" t="n">
        <x:f>IF(D141="",0,G141-I141)</x:f>
        <x:v>0</x:v>
      </x:c>
      <x:c r="K141" s="331" t="n">
        <x:f>IF(G141=0,0,J141/G141)</x:f>
        <x:v>0</x:v>
      </x:c>
      <x:c r="L141" s="343" t="n">
        <x:f>IF(D141="",0,J141-I141*'Assumptions'!$B$11)</x:f>
        <x:v>0</x:v>
      </x:c>
      <x:c r="M141" s="80"/>
      <x:c r="N141" s="81"/>
    </x:row>
    <x:row r="142">
      <x:c r="A142" s="325"/>
      <x:c r="B142" s="328"/>
      <x:c r="C142" s="75"/>
      <x:c r="D142" s="81"/>
      <x:c r="E142" s="93" t="n">
        <x:f>IFERROR(VLOOKUP(D142,'Assumptions'!$A$19:$C$23,3,FALSE),0)</x:f>
        <x:v>0</x:v>
      </x:c>
      <x:c r="F142" s="94"/>
      <x:c r="G142" s="93" t="n">
        <x:f>IF(D142="",0,E142+F142)</x:f>
        <x:v>0</x:v>
      </x:c>
      <x:c r="H142" s="98" t="n">
        <x:f>IFERROR(VLOOKUP(D142,'Assumptions'!$A$19:$C$23,2,FALSE),0)</x:f>
        <x:v>0</x:v>
      </x:c>
      <x:c r="I142" s="93" t="n">
        <x:f>IF(D142="",0,H142*'Assumptions'!$B$10)</x:f>
        <x:v>0</x:v>
      </x:c>
      <x:c r="J142" s="337" t="n">
        <x:f>IF(D142="",0,G142-I142)</x:f>
        <x:v>0</x:v>
      </x:c>
      <x:c r="K142" s="331" t="n">
        <x:f>IF(G142=0,0,J142/G142)</x:f>
        <x:v>0</x:v>
      </x:c>
      <x:c r="L142" s="343" t="n">
        <x:f>IF(D142="",0,J142-I142*'Assumptions'!$B$11)</x:f>
        <x:v>0</x:v>
      </x:c>
      <x:c r="M142" s="80"/>
      <x:c r="N142" s="81"/>
    </x:row>
    <x:row r="143">
      <x:c r="A143" s="325"/>
      <x:c r="B143" s="328"/>
      <x:c r="C143" s="75"/>
      <x:c r="D143" s="81"/>
      <x:c r="E143" s="93" t="n">
        <x:f>IFERROR(VLOOKUP(D143,'Assumptions'!$A$19:$C$23,3,FALSE),0)</x:f>
        <x:v>0</x:v>
      </x:c>
      <x:c r="F143" s="94"/>
      <x:c r="G143" s="93" t="n">
        <x:f>IF(D143="",0,E143+F143)</x:f>
        <x:v>0</x:v>
      </x:c>
      <x:c r="H143" s="98" t="n">
        <x:f>IFERROR(VLOOKUP(D143,'Assumptions'!$A$19:$C$23,2,FALSE),0)</x:f>
        <x:v>0</x:v>
      </x:c>
      <x:c r="I143" s="93" t="n">
        <x:f>IF(D143="",0,H143*'Assumptions'!$B$10)</x:f>
        <x:v>0</x:v>
      </x:c>
      <x:c r="J143" s="337" t="n">
        <x:f>IF(D143="",0,G143-I143)</x:f>
        <x:v>0</x:v>
      </x:c>
      <x:c r="K143" s="331" t="n">
        <x:f>IF(G143=0,0,J143/G143)</x:f>
        <x:v>0</x:v>
      </x:c>
      <x:c r="L143" s="343" t="n">
        <x:f>IF(D143="",0,J143-I143*'Assumptions'!$B$11)</x:f>
        <x:v>0</x:v>
      </x:c>
      <x:c r="M143" s="80"/>
      <x:c r="N143" s="81"/>
    </x:row>
    <x:row r="144">
      <x:c r="A144" s="325"/>
      <x:c r="B144" s="328"/>
      <x:c r="C144" s="75"/>
      <x:c r="D144" s="81"/>
      <x:c r="E144" s="93" t="n">
        <x:f>IFERROR(VLOOKUP(D144,'Assumptions'!$A$19:$C$23,3,FALSE),0)</x:f>
        <x:v>0</x:v>
      </x:c>
      <x:c r="F144" s="94"/>
      <x:c r="G144" s="93" t="n">
        <x:f>IF(D144="",0,E144+F144)</x:f>
        <x:v>0</x:v>
      </x:c>
      <x:c r="H144" s="98" t="n">
        <x:f>IFERROR(VLOOKUP(D144,'Assumptions'!$A$19:$C$23,2,FALSE),0)</x:f>
        <x:v>0</x:v>
      </x:c>
      <x:c r="I144" s="93" t="n">
        <x:f>IF(D144="",0,H144*'Assumptions'!$B$10)</x:f>
        <x:v>0</x:v>
      </x:c>
      <x:c r="J144" s="337" t="n">
        <x:f>IF(D144="",0,G144-I144)</x:f>
        <x:v>0</x:v>
      </x:c>
      <x:c r="K144" s="331" t="n">
        <x:f>IF(G144=0,0,J144/G144)</x:f>
        <x:v>0</x:v>
      </x:c>
      <x:c r="L144" s="343" t="n">
        <x:f>IF(D144="",0,J144-I144*'Assumptions'!$B$11)</x:f>
        <x:v>0</x:v>
      </x:c>
      <x:c r="M144" s="80"/>
      <x:c r="N144" s="81"/>
    </x:row>
    <x:row r="145">
      <x:c r="A145" s="325"/>
      <x:c r="B145" s="328"/>
      <x:c r="C145" s="75"/>
      <x:c r="D145" s="81"/>
      <x:c r="E145" s="93" t="n">
        <x:f>IFERROR(VLOOKUP(D145,'Assumptions'!$A$19:$C$23,3,FALSE),0)</x:f>
        <x:v>0</x:v>
      </x:c>
      <x:c r="F145" s="94"/>
      <x:c r="G145" s="93" t="n">
        <x:f>IF(D145="",0,E145+F145)</x:f>
        <x:v>0</x:v>
      </x:c>
      <x:c r="H145" s="98" t="n">
        <x:f>IFERROR(VLOOKUP(D145,'Assumptions'!$A$19:$C$23,2,FALSE),0)</x:f>
        <x:v>0</x:v>
      </x:c>
      <x:c r="I145" s="93" t="n">
        <x:f>IF(D145="",0,H145*'Assumptions'!$B$10)</x:f>
        <x:v>0</x:v>
      </x:c>
      <x:c r="J145" s="337" t="n">
        <x:f>IF(D145="",0,G145-I145)</x:f>
        <x:v>0</x:v>
      </x:c>
      <x:c r="K145" s="331" t="n">
        <x:f>IF(G145=0,0,J145/G145)</x:f>
        <x:v>0</x:v>
      </x:c>
      <x:c r="L145" s="343" t="n">
        <x:f>IF(D145="",0,J145-I145*'Assumptions'!$B$11)</x:f>
        <x:v>0</x:v>
      </x:c>
      <x:c r="M145" s="80"/>
      <x:c r="N145" s="81"/>
    </x:row>
    <x:row r="146">
      <x:c r="A146" s="325"/>
      <x:c r="B146" s="328"/>
      <x:c r="C146" s="75"/>
      <x:c r="D146" s="81"/>
      <x:c r="E146" s="93" t="n">
        <x:f>IFERROR(VLOOKUP(D146,'Assumptions'!$A$19:$C$23,3,FALSE),0)</x:f>
        <x:v>0</x:v>
      </x:c>
      <x:c r="F146" s="94"/>
      <x:c r="G146" s="93" t="n">
        <x:f>IF(D146="",0,E146+F146)</x:f>
        <x:v>0</x:v>
      </x:c>
      <x:c r="H146" s="98" t="n">
        <x:f>IFERROR(VLOOKUP(D146,'Assumptions'!$A$19:$C$23,2,FALSE),0)</x:f>
        <x:v>0</x:v>
      </x:c>
      <x:c r="I146" s="93" t="n">
        <x:f>IF(D146="",0,H146*'Assumptions'!$B$10)</x:f>
        <x:v>0</x:v>
      </x:c>
      <x:c r="J146" s="337" t="n">
        <x:f>IF(D146="",0,G146-I146)</x:f>
        <x:v>0</x:v>
      </x:c>
      <x:c r="K146" s="331" t="n">
        <x:f>IF(G146=0,0,J146/G146)</x:f>
        <x:v>0</x:v>
      </x:c>
      <x:c r="L146" s="343" t="n">
        <x:f>IF(D146="",0,J146-I146*'Assumptions'!$B$11)</x:f>
        <x:v>0</x:v>
      </x:c>
      <x:c r="M146" s="80"/>
      <x:c r="N146" s="81"/>
    </x:row>
    <x:row r="147">
      <x:c r="A147" s="325"/>
      <x:c r="B147" s="328"/>
      <x:c r="C147" s="75"/>
      <x:c r="D147" s="81"/>
      <x:c r="E147" s="93" t="n">
        <x:f>IFERROR(VLOOKUP(D147,'Assumptions'!$A$19:$C$23,3,FALSE),0)</x:f>
        <x:v>0</x:v>
      </x:c>
      <x:c r="F147" s="94"/>
      <x:c r="G147" s="93" t="n">
        <x:f>IF(D147="",0,E147+F147)</x:f>
        <x:v>0</x:v>
      </x:c>
      <x:c r="H147" s="98" t="n">
        <x:f>IFERROR(VLOOKUP(D147,'Assumptions'!$A$19:$C$23,2,FALSE),0)</x:f>
        <x:v>0</x:v>
      </x:c>
      <x:c r="I147" s="93" t="n">
        <x:f>IF(D147="",0,H147*'Assumptions'!$B$10)</x:f>
        <x:v>0</x:v>
      </x:c>
      <x:c r="J147" s="337" t="n">
        <x:f>IF(D147="",0,G147-I147)</x:f>
        <x:v>0</x:v>
      </x:c>
      <x:c r="K147" s="331" t="n">
        <x:f>IF(G147=0,0,J147/G147)</x:f>
        <x:v>0</x:v>
      </x:c>
      <x:c r="L147" s="343" t="n">
        <x:f>IF(D147="",0,J147-I147*'Assumptions'!$B$11)</x:f>
        <x:v>0</x:v>
      </x:c>
      <x:c r="M147" s="80"/>
      <x:c r="N147" s="81"/>
    </x:row>
    <x:row r="148">
      <x:c r="A148" s="325"/>
      <x:c r="B148" s="328"/>
      <x:c r="C148" s="75"/>
      <x:c r="D148" s="81"/>
      <x:c r="E148" s="93" t="n">
        <x:f>IFERROR(VLOOKUP(D148,'Assumptions'!$A$19:$C$23,3,FALSE),0)</x:f>
        <x:v>0</x:v>
      </x:c>
      <x:c r="F148" s="94"/>
      <x:c r="G148" s="93" t="n">
        <x:f>IF(D148="",0,E148+F148)</x:f>
        <x:v>0</x:v>
      </x:c>
      <x:c r="H148" s="98" t="n">
        <x:f>IFERROR(VLOOKUP(D148,'Assumptions'!$A$19:$C$23,2,FALSE),0)</x:f>
        <x:v>0</x:v>
      </x:c>
      <x:c r="I148" s="93" t="n">
        <x:f>IF(D148="",0,H148*'Assumptions'!$B$10)</x:f>
        <x:v>0</x:v>
      </x:c>
      <x:c r="J148" s="337" t="n">
        <x:f>IF(D148="",0,G148-I148)</x:f>
        <x:v>0</x:v>
      </x:c>
      <x:c r="K148" s="331" t="n">
        <x:f>IF(G148=0,0,J148/G148)</x:f>
        <x:v>0</x:v>
      </x:c>
      <x:c r="L148" s="343" t="n">
        <x:f>IF(D148="",0,J148-I148*'Assumptions'!$B$11)</x:f>
        <x:v>0</x:v>
      </x:c>
      <x:c r="M148" s="80"/>
      <x:c r="N148" s="81"/>
    </x:row>
    <x:row r="149">
      <x:c r="A149" s="325"/>
      <x:c r="B149" s="328"/>
      <x:c r="C149" s="75"/>
      <x:c r="D149" s="81"/>
      <x:c r="E149" s="93" t="n">
        <x:f>IFERROR(VLOOKUP(D149,'Assumptions'!$A$19:$C$23,3,FALSE),0)</x:f>
        <x:v>0</x:v>
      </x:c>
      <x:c r="F149" s="94"/>
      <x:c r="G149" s="93" t="n">
        <x:f>IF(D149="",0,E149+F149)</x:f>
        <x:v>0</x:v>
      </x:c>
      <x:c r="H149" s="98" t="n">
        <x:f>IFERROR(VLOOKUP(D149,'Assumptions'!$A$19:$C$23,2,FALSE),0)</x:f>
        <x:v>0</x:v>
      </x:c>
      <x:c r="I149" s="93" t="n">
        <x:f>IF(D149="",0,H149*'Assumptions'!$B$10)</x:f>
        <x:v>0</x:v>
      </x:c>
      <x:c r="J149" s="337" t="n">
        <x:f>IF(D149="",0,G149-I149)</x:f>
        <x:v>0</x:v>
      </x:c>
      <x:c r="K149" s="331" t="n">
        <x:f>IF(G149=0,0,J149/G149)</x:f>
        <x:v>0</x:v>
      </x:c>
      <x:c r="L149" s="343" t="n">
        <x:f>IF(D149="",0,J149-I149*'Assumptions'!$B$11)</x:f>
        <x:v>0</x:v>
      </x:c>
      <x:c r="M149" s="80"/>
      <x:c r="N149" s="81"/>
    </x:row>
    <x:row r="150">
      <x:c r="A150" s="325"/>
      <x:c r="B150" s="328"/>
      <x:c r="C150" s="75"/>
      <x:c r="D150" s="81"/>
      <x:c r="E150" s="93" t="n">
        <x:f>IFERROR(VLOOKUP(D150,'Assumptions'!$A$19:$C$23,3,FALSE),0)</x:f>
        <x:v>0</x:v>
      </x:c>
      <x:c r="F150" s="94"/>
      <x:c r="G150" s="93" t="n">
        <x:f>IF(D150="",0,E150+F150)</x:f>
        <x:v>0</x:v>
      </x:c>
      <x:c r="H150" s="98" t="n">
        <x:f>IFERROR(VLOOKUP(D150,'Assumptions'!$A$19:$C$23,2,FALSE),0)</x:f>
        <x:v>0</x:v>
      </x:c>
      <x:c r="I150" s="93" t="n">
        <x:f>IF(D150="",0,H150*'Assumptions'!$B$10)</x:f>
        <x:v>0</x:v>
      </x:c>
      <x:c r="J150" s="337" t="n">
        <x:f>IF(D150="",0,G150-I150)</x:f>
        <x:v>0</x:v>
      </x:c>
      <x:c r="K150" s="331" t="n">
        <x:f>IF(G150=0,0,J150/G150)</x:f>
        <x:v>0</x:v>
      </x:c>
      <x:c r="L150" s="343" t="n">
        <x:f>IF(D150="",0,J150-I150*'Assumptions'!$B$11)</x:f>
        <x:v>0</x:v>
      </x:c>
      <x:c r="M150" s="80"/>
      <x:c r="N150" s="81"/>
    </x:row>
    <x:row r="151">
      <x:c r="A151" s="325"/>
      <x:c r="B151" s="328"/>
      <x:c r="C151" s="75"/>
      <x:c r="D151" s="81"/>
      <x:c r="E151" s="93" t="n">
        <x:f>IFERROR(VLOOKUP(D151,'Assumptions'!$A$19:$C$23,3,FALSE),0)</x:f>
        <x:v>0</x:v>
      </x:c>
      <x:c r="F151" s="94"/>
      <x:c r="G151" s="93" t="n">
        <x:f>IF(D151="",0,E151+F151)</x:f>
        <x:v>0</x:v>
      </x:c>
      <x:c r="H151" s="98" t="n">
        <x:f>IFERROR(VLOOKUP(D151,'Assumptions'!$A$19:$C$23,2,FALSE),0)</x:f>
        <x:v>0</x:v>
      </x:c>
      <x:c r="I151" s="93" t="n">
        <x:f>IF(D151="",0,H151*'Assumptions'!$B$10)</x:f>
        <x:v>0</x:v>
      </x:c>
      <x:c r="J151" s="337" t="n">
        <x:f>IF(D151="",0,G151-I151)</x:f>
        <x:v>0</x:v>
      </x:c>
      <x:c r="K151" s="331" t="n">
        <x:f>IF(G151=0,0,J151/G151)</x:f>
        <x:v>0</x:v>
      </x:c>
      <x:c r="L151" s="343" t="n">
        <x:f>IF(D151="",0,J151-I151*'Assumptions'!$B$11)</x:f>
        <x:v>0</x:v>
      </x:c>
      <x:c r="M151" s="80"/>
      <x:c r="N151" s="81"/>
    </x:row>
    <x:row r="152">
      <x:c r="A152" s="325"/>
      <x:c r="B152" s="328"/>
      <x:c r="C152" s="75"/>
      <x:c r="D152" s="81"/>
      <x:c r="E152" s="93" t="n">
        <x:f>IFERROR(VLOOKUP(D152,'Assumptions'!$A$19:$C$23,3,FALSE),0)</x:f>
        <x:v>0</x:v>
      </x:c>
      <x:c r="F152" s="94"/>
      <x:c r="G152" s="93" t="n">
        <x:f>IF(D152="",0,E152+F152)</x:f>
        <x:v>0</x:v>
      </x:c>
      <x:c r="H152" s="98" t="n">
        <x:f>IFERROR(VLOOKUP(D152,'Assumptions'!$A$19:$C$23,2,FALSE),0)</x:f>
        <x:v>0</x:v>
      </x:c>
      <x:c r="I152" s="93" t="n">
        <x:f>IF(D152="",0,H152*'Assumptions'!$B$10)</x:f>
        <x:v>0</x:v>
      </x:c>
      <x:c r="J152" s="337" t="n">
        <x:f>IF(D152="",0,G152-I152)</x:f>
        <x:v>0</x:v>
      </x:c>
      <x:c r="K152" s="331" t="n">
        <x:f>IF(G152=0,0,J152/G152)</x:f>
        <x:v>0</x:v>
      </x:c>
      <x:c r="L152" s="343" t="n">
        <x:f>IF(D152="",0,J152-I152*'Assumptions'!$B$11)</x:f>
        <x:v>0</x:v>
      </x:c>
      <x:c r="M152" s="80"/>
      <x:c r="N152" s="81"/>
    </x:row>
    <x:row r="153">
      <x:c r="A153" s="325"/>
      <x:c r="B153" s="328"/>
      <x:c r="C153" s="75"/>
      <x:c r="D153" s="81"/>
      <x:c r="E153" s="93" t="n">
        <x:f>IFERROR(VLOOKUP(D153,'Assumptions'!$A$19:$C$23,3,FALSE),0)</x:f>
        <x:v>0</x:v>
      </x:c>
      <x:c r="F153" s="94"/>
      <x:c r="G153" s="93" t="n">
        <x:f>IF(D153="",0,E153+F153)</x:f>
        <x:v>0</x:v>
      </x:c>
      <x:c r="H153" s="98" t="n">
        <x:f>IFERROR(VLOOKUP(D153,'Assumptions'!$A$19:$C$23,2,FALSE),0)</x:f>
        <x:v>0</x:v>
      </x:c>
      <x:c r="I153" s="93" t="n">
        <x:f>IF(D153="",0,H153*'Assumptions'!$B$10)</x:f>
        <x:v>0</x:v>
      </x:c>
      <x:c r="J153" s="337" t="n">
        <x:f>IF(D153="",0,G153-I153)</x:f>
        <x:v>0</x:v>
      </x:c>
      <x:c r="K153" s="331" t="n">
        <x:f>IF(G153=0,0,J153/G153)</x:f>
        <x:v>0</x:v>
      </x:c>
      <x:c r="L153" s="343" t="n">
        <x:f>IF(D153="",0,J153-I153*'Assumptions'!$B$11)</x:f>
        <x:v>0</x:v>
      </x:c>
      <x:c r="M153" s="80"/>
      <x:c r="N153" s="81"/>
    </x:row>
    <x:row r="154">
      <x:c r="A154" s="325"/>
      <x:c r="B154" s="328"/>
      <x:c r="C154" s="75"/>
      <x:c r="D154" s="81"/>
      <x:c r="E154" s="93" t="n">
        <x:f>IFERROR(VLOOKUP(D154,'Assumptions'!$A$19:$C$23,3,FALSE),0)</x:f>
        <x:v>0</x:v>
      </x:c>
      <x:c r="F154" s="94"/>
      <x:c r="G154" s="93" t="n">
        <x:f>IF(D154="",0,E154+F154)</x:f>
        <x:v>0</x:v>
      </x:c>
      <x:c r="H154" s="98" t="n">
        <x:f>IFERROR(VLOOKUP(D154,'Assumptions'!$A$19:$C$23,2,FALSE),0)</x:f>
        <x:v>0</x:v>
      </x:c>
      <x:c r="I154" s="93" t="n">
        <x:f>IF(D154="",0,H154*'Assumptions'!$B$10)</x:f>
        <x:v>0</x:v>
      </x:c>
      <x:c r="J154" s="337" t="n">
        <x:f>IF(D154="",0,G154-I154)</x:f>
        <x:v>0</x:v>
      </x:c>
      <x:c r="K154" s="331" t="n">
        <x:f>IF(G154=0,0,J154/G154)</x:f>
        <x:v>0</x:v>
      </x:c>
      <x:c r="L154" s="343" t="n">
        <x:f>IF(D154="",0,J154-I154*'Assumptions'!$B$11)</x:f>
        <x:v>0</x:v>
      </x:c>
      <x:c r="M154" s="80"/>
      <x:c r="N154" s="81"/>
    </x:row>
    <x:row r="155">
      <x:c r="A155" s="325"/>
      <x:c r="B155" s="328"/>
      <x:c r="C155" s="75"/>
      <x:c r="D155" s="81"/>
      <x:c r="E155" s="93" t="n">
        <x:f>IFERROR(VLOOKUP(D155,'Assumptions'!$A$19:$C$23,3,FALSE),0)</x:f>
        <x:v>0</x:v>
      </x:c>
      <x:c r="F155" s="94"/>
      <x:c r="G155" s="93" t="n">
        <x:f>IF(D155="",0,E155+F155)</x:f>
        <x:v>0</x:v>
      </x:c>
      <x:c r="H155" s="98" t="n">
        <x:f>IFERROR(VLOOKUP(D155,'Assumptions'!$A$19:$C$23,2,FALSE),0)</x:f>
        <x:v>0</x:v>
      </x:c>
      <x:c r="I155" s="93" t="n">
        <x:f>IF(D155="",0,H155*'Assumptions'!$B$10)</x:f>
        <x:v>0</x:v>
      </x:c>
      <x:c r="J155" s="337" t="n">
        <x:f>IF(D155="",0,G155-I155)</x:f>
        <x:v>0</x:v>
      </x:c>
      <x:c r="K155" s="331" t="n">
        <x:f>IF(G155=0,0,J155/G155)</x:f>
        <x:v>0</x:v>
      </x:c>
      <x:c r="L155" s="343" t="n">
        <x:f>IF(D155="",0,J155-I155*'Assumptions'!$B$11)</x:f>
        <x:v>0</x:v>
      </x:c>
      <x:c r="M155" s="80"/>
      <x:c r="N155" s="81"/>
    </x:row>
    <x:row r="156">
      <x:c r="A156" s="325"/>
      <x:c r="B156" s="328"/>
      <x:c r="C156" s="75"/>
      <x:c r="D156" s="81"/>
      <x:c r="E156" s="93" t="n">
        <x:f>IFERROR(VLOOKUP(D156,'Assumptions'!$A$19:$C$23,3,FALSE),0)</x:f>
        <x:v>0</x:v>
      </x:c>
      <x:c r="F156" s="94"/>
      <x:c r="G156" s="93" t="n">
        <x:f>IF(D156="",0,E156+F156)</x:f>
        <x:v>0</x:v>
      </x:c>
      <x:c r="H156" s="98" t="n">
        <x:f>IFERROR(VLOOKUP(D156,'Assumptions'!$A$19:$C$23,2,FALSE),0)</x:f>
        <x:v>0</x:v>
      </x:c>
      <x:c r="I156" s="93" t="n">
        <x:f>IF(D156="",0,H156*'Assumptions'!$B$10)</x:f>
        <x:v>0</x:v>
      </x:c>
      <x:c r="J156" s="337" t="n">
        <x:f>IF(D156="",0,G156-I156)</x:f>
        <x:v>0</x:v>
      </x:c>
      <x:c r="K156" s="331" t="n">
        <x:f>IF(G156=0,0,J156/G156)</x:f>
        <x:v>0</x:v>
      </x:c>
      <x:c r="L156" s="343" t="n">
        <x:f>IF(D156="",0,J156-I156*'Assumptions'!$B$11)</x:f>
        <x:v>0</x:v>
      </x:c>
      <x:c r="M156" s="80"/>
      <x:c r="N156" s="81"/>
    </x:row>
    <x:row r="157">
      <x:c r="A157" s="325"/>
      <x:c r="B157" s="328"/>
      <x:c r="C157" s="75"/>
      <x:c r="D157" s="81"/>
      <x:c r="E157" s="93" t="n">
        <x:f>IFERROR(VLOOKUP(D157,'Assumptions'!$A$19:$C$23,3,FALSE),0)</x:f>
        <x:v>0</x:v>
      </x:c>
      <x:c r="F157" s="94"/>
      <x:c r="G157" s="93" t="n">
        <x:f>IF(D157="",0,E157+F157)</x:f>
        <x:v>0</x:v>
      </x:c>
      <x:c r="H157" s="98" t="n">
        <x:f>IFERROR(VLOOKUP(D157,'Assumptions'!$A$19:$C$23,2,FALSE),0)</x:f>
        <x:v>0</x:v>
      </x:c>
      <x:c r="I157" s="93" t="n">
        <x:f>IF(D157="",0,H157*'Assumptions'!$B$10)</x:f>
        <x:v>0</x:v>
      </x:c>
      <x:c r="J157" s="337" t="n">
        <x:f>IF(D157="",0,G157-I157)</x:f>
        <x:v>0</x:v>
      </x:c>
      <x:c r="K157" s="331" t="n">
        <x:f>IF(G157=0,0,J157/G157)</x:f>
        <x:v>0</x:v>
      </x:c>
      <x:c r="L157" s="343" t="n">
        <x:f>IF(D157="",0,J157-I157*'Assumptions'!$B$11)</x:f>
        <x:v>0</x:v>
      </x:c>
      <x:c r="M157" s="80"/>
      <x:c r="N157" s="81"/>
    </x:row>
    <x:row r="158">
      <x:c r="A158" s="325"/>
      <x:c r="B158" s="328"/>
      <x:c r="C158" s="75"/>
      <x:c r="D158" s="81"/>
      <x:c r="E158" s="93" t="n">
        <x:f>IFERROR(VLOOKUP(D158,'Assumptions'!$A$19:$C$23,3,FALSE),0)</x:f>
        <x:v>0</x:v>
      </x:c>
      <x:c r="F158" s="94"/>
      <x:c r="G158" s="93" t="n">
        <x:f>IF(D158="",0,E158+F158)</x:f>
        <x:v>0</x:v>
      </x:c>
      <x:c r="H158" s="98" t="n">
        <x:f>IFERROR(VLOOKUP(D158,'Assumptions'!$A$19:$C$23,2,FALSE),0)</x:f>
        <x:v>0</x:v>
      </x:c>
      <x:c r="I158" s="93" t="n">
        <x:f>IF(D158="",0,H158*'Assumptions'!$B$10)</x:f>
        <x:v>0</x:v>
      </x:c>
      <x:c r="J158" s="337" t="n">
        <x:f>IF(D158="",0,G158-I158)</x:f>
        <x:v>0</x:v>
      </x:c>
      <x:c r="K158" s="331" t="n">
        <x:f>IF(G158=0,0,J158/G158)</x:f>
        <x:v>0</x:v>
      </x:c>
      <x:c r="L158" s="343" t="n">
        <x:f>IF(D158="",0,J158-I158*'Assumptions'!$B$11)</x:f>
        <x:v>0</x:v>
      </x:c>
      <x:c r="M158" s="80"/>
      <x:c r="N158" s="81"/>
    </x:row>
    <x:row r="159">
      <x:c r="A159" s="325"/>
      <x:c r="B159" s="328"/>
      <x:c r="C159" s="75"/>
      <x:c r="D159" s="81"/>
      <x:c r="E159" s="93" t="n">
        <x:f>IFERROR(VLOOKUP(D159,'Assumptions'!$A$19:$C$23,3,FALSE),0)</x:f>
        <x:v>0</x:v>
      </x:c>
      <x:c r="F159" s="94"/>
      <x:c r="G159" s="93" t="n">
        <x:f>IF(D159="",0,E159+F159)</x:f>
        <x:v>0</x:v>
      </x:c>
      <x:c r="H159" s="98" t="n">
        <x:f>IFERROR(VLOOKUP(D159,'Assumptions'!$A$19:$C$23,2,FALSE),0)</x:f>
        <x:v>0</x:v>
      </x:c>
      <x:c r="I159" s="93" t="n">
        <x:f>IF(D159="",0,H159*'Assumptions'!$B$10)</x:f>
        <x:v>0</x:v>
      </x:c>
      <x:c r="J159" s="337" t="n">
        <x:f>IF(D159="",0,G159-I159)</x:f>
        <x:v>0</x:v>
      </x:c>
      <x:c r="K159" s="331" t="n">
        <x:f>IF(G159=0,0,J159/G159)</x:f>
        <x:v>0</x:v>
      </x:c>
      <x:c r="L159" s="343" t="n">
        <x:f>IF(D159="",0,J159-I159*'Assumptions'!$B$11)</x:f>
        <x:v>0</x:v>
      </x:c>
      <x:c r="M159" s="80"/>
      <x:c r="N159" s="81"/>
    </x:row>
    <x:row r="160">
      <x:c r="A160" s="325"/>
      <x:c r="B160" s="328"/>
      <x:c r="C160" s="75"/>
      <x:c r="D160" s="81"/>
      <x:c r="E160" s="93" t="n">
        <x:f>IFERROR(VLOOKUP(D160,'Assumptions'!$A$19:$C$23,3,FALSE),0)</x:f>
        <x:v>0</x:v>
      </x:c>
      <x:c r="F160" s="94"/>
      <x:c r="G160" s="93" t="n">
        <x:f>IF(D160="",0,E160+F160)</x:f>
        <x:v>0</x:v>
      </x:c>
      <x:c r="H160" s="98" t="n">
        <x:f>IFERROR(VLOOKUP(D160,'Assumptions'!$A$19:$C$23,2,FALSE),0)</x:f>
        <x:v>0</x:v>
      </x:c>
      <x:c r="I160" s="93" t="n">
        <x:f>IF(D160="",0,H160*'Assumptions'!$B$10)</x:f>
        <x:v>0</x:v>
      </x:c>
      <x:c r="J160" s="337" t="n">
        <x:f>IF(D160="",0,G160-I160)</x:f>
        <x:v>0</x:v>
      </x:c>
      <x:c r="K160" s="331" t="n">
        <x:f>IF(G160=0,0,J160/G160)</x:f>
        <x:v>0</x:v>
      </x:c>
      <x:c r="L160" s="343" t="n">
        <x:f>IF(D160="",0,J160-I160*'Assumptions'!$B$11)</x:f>
        <x:v>0</x:v>
      </x:c>
      <x:c r="M160" s="80"/>
      <x:c r="N160" s="81"/>
    </x:row>
    <x:row r="161">
      <x:c r="A161" s="325"/>
      <x:c r="B161" s="328"/>
      <x:c r="C161" s="75"/>
      <x:c r="D161" s="81"/>
      <x:c r="E161" s="93" t="n">
        <x:f>IFERROR(VLOOKUP(D161,'Assumptions'!$A$19:$C$23,3,FALSE),0)</x:f>
        <x:v>0</x:v>
      </x:c>
      <x:c r="F161" s="94"/>
      <x:c r="G161" s="93" t="n">
        <x:f>IF(D161="",0,E161+F161)</x:f>
        <x:v>0</x:v>
      </x:c>
      <x:c r="H161" s="98" t="n">
        <x:f>IFERROR(VLOOKUP(D161,'Assumptions'!$A$19:$C$23,2,FALSE),0)</x:f>
        <x:v>0</x:v>
      </x:c>
      <x:c r="I161" s="93" t="n">
        <x:f>IF(D161="",0,H161*'Assumptions'!$B$10)</x:f>
        <x:v>0</x:v>
      </x:c>
      <x:c r="J161" s="337" t="n">
        <x:f>IF(D161="",0,G161-I161)</x:f>
        <x:v>0</x:v>
      </x:c>
      <x:c r="K161" s="331" t="n">
        <x:f>IF(G161=0,0,J161/G161)</x:f>
        <x:v>0</x:v>
      </x:c>
      <x:c r="L161" s="343" t="n">
        <x:f>IF(D161="",0,J161-I161*'Assumptions'!$B$11)</x:f>
        <x:v>0</x:v>
      </x:c>
      <x:c r="M161" s="80"/>
      <x:c r="N161" s="81"/>
    </x:row>
    <x:row r="162">
      <x:c r="A162" s="325"/>
      <x:c r="B162" s="328"/>
      <x:c r="C162" s="75"/>
      <x:c r="D162" s="81"/>
      <x:c r="E162" s="93" t="n">
        <x:f>IFERROR(VLOOKUP(D162,'Assumptions'!$A$19:$C$23,3,FALSE),0)</x:f>
        <x:v>0</x:v>
      </x:c>
      <x:c r="F162" s="94"/>
      <x:c r="G162" s="93" t="n">
        <x:f>IF(D162="",0,E162+F162)</x:f>
        <x:v>0</x:v>
      </x:c>
      <x:c r="H162" s="98" t="n">
        <x:f>IFERROR(VLOOKUP(D162,'Assumptions'!$A$19:$C$23,2,FALSE),0)</x:f>
        <x:v>0</x:v>
      </x:c>
      <x:c r="I162" s="93" t="n">
        <x:f>IF(D162="",0,H162*'Assumptions'!$B$10)</x:f>
        <x:v>0</x:v>
      </x:c>
      <x:c r="J162" s="337" t="n">
        <x:f>IF(D162="",0,G162-I162)</x:f>
        <x:v>0</x:v>
      </x:c>
      <x:c r="K162" s="331" t="n">
        <x:f>IF(G162=0,0,J162/G162)</x:f>
        <x:v>0</x:v>
      </x:c>
      <x:c r="L162" s="343" t="n">
        <x:f>IF(D162="",0,J162-I162*'Assumptions'!$B$11)</x:f>
        <x:v>0</x:v>
      </x:c>
      <x:c r="M162" s="80"/>
      <x:c r="N162" s="81"/>
    </x:row>
    <x:row r="163">
      <x:c r="A163" s="325"/>
      <x:c r="B163" s="328"/>
      <x:c r="C163" s="75"/>
      <x:c r="D163" s="81"/>
      <x:c r="E163" s="93" t="n">
        <x:f>IFERROR(VLOOKUP(D163,'Assumptions'!$A$19:$C$23,3,FALSE),0)</x:f>
        <x:v>0</x:v>
      </x:c>
      <x:c r="F163" s="94"/>
      <x:c r="G163" s="93" t="n">
        <x:f>IF(D163="",0,E163+F163)</x:f>
        <x:v>0</x:v>
      </x:c>
      <x:c r="H163" s="98" t="n">
        <x:f>IFERROR(VLOOKUP(D163,'Assumptions'!$A$19:$C$23,2,FALSE),0)</x:f>
        <x:v>0</x:v>
      </x:c>
      <x:c r="I163" s="93" t="n">
        <x:f>IF(D163="",0,H163*'Assumptions'!$B$10)</x:f>
        <x:v>0</x:v>
      </x:c>
      <x:c r="J163" s="337" t="n">
        <x:f>IF(D163="",0,G163-I163)</x:f>
        <x:v>0</x:v>
      </x:c>
      <x:c r="K163" s="331" t="n">
        <x:f>IF(G163=0,0,J163/G163)</x:f>
        <x:v>0</x:v>
      </x:c>
      <x:c r="L163" s="343" t="n">
        <x:f>IF(D163="",0,J163-I163*'Assumptions'!$B$11)</x:f>
        <x:v>0</x:v>
      </x:c>
      <x:c r="M163" s="80"/>
      <x:c r="N163" s="81"/>
    </x:row>
    <x:row r="164">
      <x:c r="A164" s="325"/>
      <x:c r="B164" s="328"/>
      <x:c r="C164" s="75"/>
      <x:c r="D164" s="81"/>
      <x:c r="E164" s="93" t="n">
        <x:f>IFERROR(VLOOKUP(D164,'Assumptions'!$A$19:$C$23,3,FALSE),0)</x:f>
        <x:v>0</x:v>
      </x:c>
      <x:c r="F164" s="94"/>
      <x:c r="G164" s="93" t="n">
        <x:f>IF(D164="",0,E164+F164)</x:f>
        <x:v>0</x:v>
      </x:c>
      <x:c r="H164" s="98" t="n">
        <x:f>IFERROR(VLOOKUP(D164,'Assumptions'!$A$19:$C$23,2,FALSE),0)</x:f>
        <x:v>0</x:v>
      </x:c>
      <x:c r="I164" s="93" t="n">
        <x:f>IF(D164="",0,H164*'Assumptions'!$B$10)</x:f>
        <x:v>0</x:v>
      </x:c>
      <x:c r="J164" s="337" t="n">
        <x:f>IF(D164="",0,G164-I164)</x:f>
        <x:v>0</x:v>
      </x:c>
      <x:c r="K164" s="331" t="n">
        <x:f>IF(G164=0,0,J164/G164)</x:f>
        <x:v>0</x:v>
      </x:c>
      <x:c r="L164" s="343" t="n">
        <x:f>IF(D164="",0,J164-I164*'Assumptions'!$B$11)</x:f>
        <x:v>0</x:v>
      </x:c>
      <x:c r="M164" s="80"/>
      <x:c r="N164" s="81"/>
    </x:row>
    <x:row r="165">
      <x:c r="A165" s="325"/>
      <x:c r="B165" s="328"/>
      <x:c r="C165" s="75"/>
      <x:c r="D165" s="81"/>
      <x:c r="E165" s="93" t="n">
        <x:f>IFERROR(VLOOKUP(D165,'Assumptions'!$A$19:$C$23,3,FALSE),0)</x:f>
        <x:v>0</x:v>
      </x:c>
      <x:c r="F165" s="94"/>
      <x:c r="G165" s="93" t="n">
        <x:f>IF(D165="",0,E165+F165)</x:f>
        <x:v>0</x:v>
      </x:c>
      <x:c r="H165" s="98" t="n">
        <x:f>IFERROR(VLOOKUP(D165,'Assumptions'!$A$19:$C$23,2,FALSE),0)</x:f>
        <x:v>0</x:v>
      </x:c>
      <x:c r="I165" s="93" t="n">
        <x:f>IF(D165="",0,H165*'Assumptions'!$B$10)</x:f>
        <x:v>0</x:v>
      </x:c>
      <x:c r="J165" s="337" t="n">
        <x:f>IF(D165="",0,G165-I165)</x:f>
        <x:v>0</x:v>
      </x:c>
      <x:c r="K165" s="331" t="n">
        <x:f>IF(G165=0,0,J165/G165)</x:f>
        <x:v>0</x:v>
      </x:c>
      <x:c r="L165" s="343" t="n">
        <x:f>IF(D165="",0,J165-I165*'Assumptions'!$B$11)</x:f>
        <x:v>0</x:v>
      </x:c>
      <x:c r="M165" s="80"/>
      <x:c r="N165" s="81"/>
    </x:row>
    <x:row r="166">
      <x:c r="A166" s="325"/>
      <x:c r="B166" s="328"/>
      <x:c r="C166" s="75"/>
      <x:c r="D166" s="81"/>
      <x:c r="E166" s="93" t="n">
        <x:f>IFERROR(VLOOKUP(D166,'Assumptions'!$A$19:$C$23,3,FALSE),0)</x:f>
        <x:v>0</x:v>
      </x:c>
      <x:c r="F166" s="94"/>
      <x:c r="G166" s="93" t="n">
        <x:f>IF(D166="",0,E166+F166)</x:f>
        <x:v>0</x:v>
      </x:c>
      <x:c r="H166" s="98" t="n">
        <x:f>IFERROR(VLOOKUP(D166,'Assumptions'!$A$19:$C$23,2,FALSE),0)</x:f>
        <x:v>0</x:v>
      </x:c>
      <x:c r="I166" s="93" t="n">
        <x:f>IF(D166="",0,H166*'Assumptions'!$B$10)</x:f>
        <x:v>0</x:v>
      </x:c>
      <x:c r="J166" s="337" t="n">
        <x:f>IF(D166="",0,G166-I166)</x:f>
        <x:v>0</x:v>
      </x:c>
      <x:c r="K166" s="331" t="n">
        <x:f>IF(G166=0,0,J166/G166)</x:f>
        <x:v>0</x:v>
      </x:c>
      <x:c r="L166" s="343" t="n">
        <x:f>IF(D166="",0,J166-I166*'Assumptions'!$B$11)</x:f>
        <x:v>0</x:v>
      </x:c>
      <x:c r="M166" s="80"/>
      <x:c r="N166" s="81"/>
    </x:row>
    <x:row r="167">
      <x:c r="A167" s="325"/>
      <x:c r="B167" s="328"/>
      <x:c r="C167" s="75"/>
      <x:c r="D167" s="81"/>
      <x:c r="E167" s="93" t="n">
        <x:f>IFERROR(VLOOKUP(D167,'Assumptions'!$A$19:$C$23,3,FALSE),0)</x:f>
        <x:v>0</x:v>
      </x:c>
      <x:c r="F167" s="94"/>
      <x:c r="G167" s="93" t="n">
        <x:f>IF(D167="",0,E167+F167)</x:f>
        <x:v>0</x:v>
      </x:c>
      <x:c r="H167" s="98" t="n">
        <x:f>IFERROR(VLOOKUP(D167,'Assumptions'!$A$19:$C$23,2,FALSE),0)</x:f>
        <x:v>0</x:v>
      </x:c>
      <x:c r="I167" s="93" t="n">
        <x:f>IF(D167="",0,H167*'Assumptions'!$B$10)</x:f>
        <x:v>0</x:v>
      </x:c>
      <x:c r="J167" s="337" t="n">
        <x:f>IF(D167="",0,G167-I167)</x:f>
        <x:v>0</x:v>
      </x:c>
      <x:c r="K167" s="331" t="n">
        <x:f>IF(G167=0,0,J167/G167)</x:f>
        <x:v>0</x:v>
      </x:c>
      <x:c r="L167" s="343" t="n">
        <x:f>IF(D167="",0,J167-I167*'Assumptions'!$B$11)</x:f>
        <x:v>0</x:v>
      </x:c>
      <x:c r="M167" s="80"/>
      <x:c r="N167" s="81"/>
    </x:row>
    <x:row r="168">
      <x:c r="A168" s="325"/>
      <x:c r="B168" s="328"/>
      <x:c r="C168" s="75"/>
      <x:c r="D168" s="81"/>
      <x:c r="E168" s="93" t="n">
        <x:f>IFERROR(VLOOKUP(D168,'Assumptions'!$A$19:$C$23,3,FALSE),0)</x:f>
        <x:v>0</x:v>
      </x:c>
      <x:c r="F168" s="94"/>
      <x:c r="G168" s="93" t="n">
        <x:f>IF(D168="",0,E168+F168)</x:f>
        <x:v>0</x:v>
      </x:c>
      <x:c r="H168" s="98" t="n">
        <x:f>IFERROR(VLOOKUP(D168,'Assumptions'!$A$19:$C$23,2,FALSE),0)</x:f>
        <x:v>0</x:v>
      </x:c>
      <x:c r="I168" s="93" t="n">
        <x:f>IF(D168="",0,H168*'Assumptions'!$B$10)</x:f>
        <x:v>0</x:v>
      </x:c>
      <x:c r="J168" s="337" t="n">
        <x:f>IF(D168="",0,G168-I168)</x:f>
        <x:v>0</x:v>
      </x:c>
      <x:c r="K168" s="331" t="n">
        <x:f>IF(G168=0,0,J168/G168)</x:f>
        <x:v>0</x:v>
      </x:c>
      <x:c r="L168" s="343" t="n">
        <x:f>IF(D168="",0,J168-I168*'Assumptions'!$B$11)</x:f>
        <x:v>0</x:v>
      </x:c>
      <x:c r="M168" s="80"/>
      <x:c r="N168" s="81"/>
    </x:row>
    <x:row r="169">
      <x:c r="A169" s="325"/>
      <x:c r="B169" s="328"/>
      <x:c r="C169" s="75"/>
      <x:c r="D169" s="81"/>
      <x:c r="E169" s="93" t="n">
        <x:f>IFERROR(VLOOKUP(D169,'Assumptions'!$A$19:$C$23,3,FALSE),0)</x:f>
        <x:v>0</x:v>
      </x:c>
      <x:c r="F169" s="94"/>
      <x:c r="G169" s="93" t="n">
        <x:f>IF(D169="",0,E169+F169)</x:f>
        <x:v>0</x:v>
      </x:c>
      <x:c r="H169" s="98" t="n">
        <x:f>IFERROR(VLOOKUP(D169,'Assumptions'!$A$19:$C$23,2,FALSE),0)</x:f>
        <x:v>0</x:v>
      </x:c>
      <x:c r="I169" s="93" t="n">
        <x:f>IF(D169="",0,H169*'Assumptions'!$B$10)</x:f>
        <x:v>0</x:v>
      </x:c>
      <x:c r="J169" s="337" t="n">
        <x:f>IF(D169="",0,G169-I169)</x:f>
        <x:v>0</x:v>
      </x:c>
      <x:c r="K169" s="331" t="n">
        <x:f>IF(G169=0,0,J169/G169)</x:f>
        <x:v>0</x:v>
      </x:c>
      <x:c r="L169" s="343" t="n">
        <x:f>IF(D169="",0,J169-I169*'Assumptions'!$B$11)</x:f>
        <x:v>0</x:v>
      </x:c>
      <x:c r="M169" s="80"/>
      <x:c r="N169" s="81"/>
    </x:row>
    <x:row r="170">
      <x:c r="A170" s="325"/>
      <x:c r="B170" s="328"/>
      <x:c r="C170" s="75"/>
      <x:c r="D170" s="81"/>
      <x:c r="E170" s="93" t="n">
        <x:f>IFERROR(VLOOKUP(D170,'Assumptions'!$A$19:$C$23,3,FALSE),0)</x:f>
        <x:v>0</x:v>
      </x:c>
      <x:c r="F170" s="94"/>
      <x:c r="G170" s="93" t="n">
        <x:f>IF(D170="",0,E170+F170)</x:f>
        <x:v>0</x:v>
      </x:c>
      <x:c r="H170" s="98" t="n">
        <x:f>IFERROR(VLOOKUP(D170,'Assumptions'!$A$19:$C$23,2,FALSE),0)</x:f>
        <x:v>0</x:v>
      </x:c>
      <x:c r="I170" s="93" t="n">
        <x:f>IF(D170="",0,H170*'Assumptions'!$B$10)</x:f>
        <x:v>0</x:v>
      </x:c>
      <x:c r="J170" s="337" t="n">
        <x:f>IF(D170="",0,G170-I170)</x:f>
        <x:v>0</x:v>
      </x:c>
      <x:c r="K170" s="331" t="n">
        <x:f>IF(G170=0,0,J170/G170)</x:f>
        <x:v>0</x:v>
      </x:c>
      <x:c r="L170" s="343" t="n">
        <x:f>IF(D170="",0,J170-I170*'Assumptions'!$B$11)</x:f>
        <x:v>0</x:v>
      </x:c>
      <x:c r="M170" s="80"/>
      <x:c r="N170" s="81"/>
    </x:row>
    <x:row r="171">
      <x:c r="A171" s="325"/>
      <x:c r="B171" s="328"/>
      <x:c r="C171" s="75"/>
      <x:c r="D171" s="81"/>
      <x:c r="E171" s="93" t="n">
        <x:f>IFERROR(VLOOKUP(D171,'Assumptions'!$A$19:$C$23,3,FALSE),0)</x:f>
        <x:v>0</x:v>
      </x:c>
      <x:c r="F171" s="94"/>
      <x:c r="G171" s="93" t="n">
        <x:f>IF(D171="",0,E171+F171)</x:f>
        <x:v>0</x:v>
      </x:c>
      <x:c r="H171" s="98" t="n">
        <x:f>IFERROR(VLOOKUP(D171,'Assumptions'!$A$19:$C$23,2,FALSE),0)</x:f>
        <x:v>0</x:v>
      </x:c>
      <x:c r="I171" s="93" t="n">
        <x:f>IF(D171="",0,H171*'Assumptions'!$B$10)</x:f>
        <x:v>0</x:v>
      </x:c>
      <x:c r="J171" s="337" t="n">
        <x:f>IF(D171="",0,G171-I171)</x:f>
        <x:v>0</x:v>
      </x:c>
      <x:c r="K171" s="331" t="n">
        <x:f>IF(G171=0,0,J171/G171)</x:f>
        <x:v>0</x:v>
      </x:c>
      <x:c r="L171" s="343" t="n">
        <x:f>IF(D171="",0,J171-I171*'Assumptions'!$B$11)</x:f>
        <x:v>0</x:v>
      </x:c>
      <x:c r="M171" s="80"/>
      <x:c r="N171" s="81"/>
    </x:row>
    <x:row r="172">
      <x:c r="A172" s="325"/>
      <x:c r="B172" s="328"/>
      <x:c r="C172" s="75"/>
      <x:c r="D172" s="81"/>
      <x:c r="E172" s="93" t="n">
        <x:f>IFERROR(VLOOKUP(D172,'Assumptions'!$A$19:$C$23,3,FALSE),0)</x:f>
        <x:v>0</x:v>
      </x:c>
      <x:c r="F172" s="94"/>
      <x:c r="G172" s="93" t="n">
        <x:f>IF(D172="",0,E172+F172)</x:f>
        <x:v>0</x:v>
      </x:c>
      <x:c r="H172" s="98" t="n">
        <x:f>IFERROR(VLOOKUP(D172,'Assumptions'!$A$19:$C$23,2,FALSE),0)</x:f>
        <x:v>0</x:v>
      </x:c>
      <x:c r="I172" s="93" t="n">
        <x:f>IF(D172="",0,H172*'Assumptions'!$B$10)</x:f>
        <x:v>0</x:v>
      </x:c>
      <x:c r="J172" s="337" t="n">
        <x:f>IF(D172="",0,G172-I172)</x:f>
        <x:v>0</x:v>
      </x:c>
      <x:c r="K172" s="331" t="n">
        <x:f>IF(G172=0,0,J172/G172)</x:f>
        <x:v>0</x:v>
      </x:c>
      <x:c r="L172" s="343" t="n">
        <x:f>IF(D172="",0,J172-I172*'Assumptions'!$B$11)</x:f>
        <x:v>0</x:v>
      </x:c>
      <x:c r="M172" s="80"/>
      <x:c r="N172" s="81"/>
    </x:row>
    <x:row r="173">
      <x:c r="A173" s="325"/>
      <x:c r="B173" s="328"/>
      <x:c r="C173" s="75"/>
      <x:c r="D173" s="81"/>
      <x:c r="E173" s="93" t="n">
        <x:f>IFERROR(VLOOKUP(D173,'Assumptions'!$A$19:$C$23,3,FALSE),0)</x:f>
        <x:v>0</x:v>
      </x:c>
      <x:c r="F173" s="94"/>
      <x:c r="G173" s="93" t="n">
        <x:f>IF(D173="",0,E173+F173)</x:f>
        <x:v>0</x:v>
      </x:c>
      <x:c r="H173" s="98" t="n">
        <x:f>IFERROR(VLOOKUP(D173,'Assumptions'!$A$19:$C$23,2,FALSE),0)</x:f>
        <x:v>0</x:v>
      </x:c>
      <x:c r="I173" s="93" t="n">
        <x:f>IF(D173="",0,H173*'Assumptions'!$B$10)</x:f>
        <x:v>0</x:v>
      </x:c>
      <x:c r="J173" s="337" t="n">
        <x:f>IF(D173="",0,G173-I173)</x:f>
        <x:v>0</x:v>
      </x:c>
      <x:c r="K173" s="331" t="n">
        <x:f>IF(G173=0,0,J173/G173)</x:f>
        <x:v>0</x:v>
      </x:c>
      <x:c r="L173" s="343" t="n">
        <x:f>IF(D173="",0,J173-I173*'Assumptions'!$B$11)</x:f>
        <x:v>0</x:v>
      </x:c>
      <x:c r="M173" s="80"/>
      <x:c r="N173" s="81"/>
    </x:row>
    <x:row r="174">
      <x:c r="A174" s="325"/>
      <x:c r="B174" s="328"/>
      <x:c r="C174" s="75"/>
      <x:c r="D174" s="81"/>
      <x:c r="E174" s="93" t="n">
        <x:f>IFERROR(VLOOKUP(D174,'Assumptions'!$A$19:$C$23,3,FALSE),0)</x:f>
        <x:v>0</x:v>
      </x:c>
      <x:c r="F174" s="94"/>
      <x:c r="G174" s="93" t="n">
        <x:f>IF(D174="",0,E174+F174)</x:f>
        <x:v>0</x:v>
      </x:c>
      <x:c r="H174" s="98" t="n">
        <x:f>IFERROR(VLOOKUP(D174,'Assumptions'!$A$19:$C$23,2,FALSE),0)</x:f>
        <x:v>0</x:v>
      </x:c>
      <x:c r="I174" s="93" t="n">
        <x:f>IF(D174="",0,H174*'Assumptions'!$B$10)</x:f>
        <x:v>0</x:v>
      </x:c>
      <x:c r="J174" s="337" t="n">
        <x:f>IF(D174="",0,G174-I174)</x:f>
        <x:v>0</x:v>
      </x:c>
      <x:c r="K174" s="331" t="n">
        <x:f>IF(G174=0,0,J174/G174)</x:f>
        <x:v>0</x:v>
      </x:c>
      <x:c r="L174" s="343" t="n">
        <x:f>IF(D174="",0,J174-I174*'Assumptions'!$B$11)</x:f>
        <x:v>0</x:v>
      </x:c>
      <x:c r="M174" s="80"/>
      <x:c r="N174" s="81"/>
    </x:row>
    <x:row r="175">
      <x:c r="A175" s="325"/>
      <x:c r="B175" s="328"/>
      <x:c r="C175" s="75"/>
      <x:c r="D175" s="81"/>
      <x:c r="E175" s="93" t="n">
        <x:f>IFERROR(VLOOKUP(D175,'Assumptions'!$A$19:$C$23,3,FALSE),0)</x:f>
        <x:v>0</x:v>
      </x:c>
      <x:c r="F175" s="94"/>
      <x:c r="G175" s="93" t="n">
        <x:f>IF(D175="",0,E175+F175)</x:f>
        <x:v>0</x:v>
      </x:c>
      <x:c r="H175" s="98" t="n">
        <x:f>IFERROR(VLOOKUP(D175,'Assumptions'!$A$19:$C$23,2,FALSE),0)</x:f>
        <x:v>0</x:v>
      </x:c>
      <x:c r="I175" s="93" t="n">
        <x:f>IF(D175="",0,H175*'Assumptions'!$B$10)</x:f>
        <x:v>0</x:v>
      </x:c>
      <x:c r="J175" s="337" t="n">
        <x:f>IF(D175="",0,G175-I175)</x:f>
        <x:v>0</x:v>
      </x:c>
      <x:c r="K175" s="331" t="n">
        <x:f>IF(G175=0,0,J175/G175)</x:f>
        <x:v>0</x:v>
      </x:c>
      <x:c r="L175" s="343" t="n">
        <x:f>IF(D175="",0,J175-I175*'Assumptions'!$B$11)</x:f>
        <x:v>0</x:v>
      </x:c>
      <x:c r="M175" s="80"/>
      <x:c r="N175" s="81"/>
    </x:row>
    <x:row r="176">
      <x:c r="A176" s="325"/>
      <x:c r="B176" s="328"/>
      <x:c r="C176" s="75"/>
      <x:c r="D176" s="81"/>
      <x:c r="E176" s="93" t="n">
        <x:f>IFERROR(VLOOKUP(D176,'Assumptions'!$A$19:$C$23,3,FALSE),0)</x:f>
        <x:v>0</x:v>
      </x:c>
      <x:c r="F176" s="94"/>
      <x:c r="G176" s="93" t="n">
        <x:f>IF(D176="",0,E176+F176)</x:f>
        <x:v>0</x:v>
      </x:c>
      <x:c r="H176" s="98" t="n">
        <x:f>IFERROR(VLOOKUP(D176,'Assumptions'!$A$19:$C$23,2,FALSE),0)</x:f>
        <x:v>0</x:v>
      </x:c>
      <x:c r="I176" s="93" t="n">
        <x:f>IF(D176="",0,H176*'Assumptions'!$B$10)</x:f>
        <x:v>0</x:v>
      </x:c>
      <x:c r="J176" s="337" t="n">
        <x:f>IF(D176="",0,G176-I176)</x:f>
        <x:v>0</x:v>
      </x:c>
      <x:c r="K176" s="331" t="n">
        <x:f>IF(G176=0,0,J176/G176)</x:f>
        <x:v>0</x:v>
      </x:c>
      <x:c r="L176" s="343" t="n">
        <x:f>IF(D176="",0,J176-I176*'Assumptions'!$B$11)</x:f>
        <x:v>0</x:v>
      </x:c>
      <x:c r="M176" s="80"/>
      <x:c r="N176" s="81"/>
    </x:row>
    <x:row r="177">
      <x:c r="A177" s="325"/>
      <x:c r="B177" s="328"/>
      <x:c r="C177" s="75"/>
      <x:c r="D177" s="81"/>
      <x:c r="E177" s="93" t="n">
        <x:f>IFERROR(VLOOKUP(D177,'Assumptions'!$A$19:$C$23,3,FALSE),0)</x:f>
        <x:v>0</x:v>
      </x:c>
      <x:c r="F177" s="94"/>
      <x:c r="G177" s="93" t="n">
        <x:f>IF(D177="",0,E177+F177)</x:f>
        <x:v>0</x:v>
      </x:c>
      <x:c r="H177" s="98" t="n">
        <x:f>IFERROR(VLOOKUP(D177,'Assumptions'!$A$19:$C$23,2,FALSE),0)</x:f>
        <x:v>0</x:v>
      </x:c>
      <x:c r="I177" s="93" t="n">
        <x:f>IF(D177="",0,H177*'Assumptions'!$B$10)</x:f>
        <x:v>0</x:v>
      </x:c>
      <x:c r="J177" s="337" t="n">
        <x:f>IF(D177="",0,G177-I177)</x:f>
        <x:v>0</x:v>
      </x:c>
      <x:c r="K177" s="331" t="n">
        <x:f>IF(G177=0,0,J177/G177)</x:f>
        <x:v>0</x:v>
      </x:c>
      <x:c r="L177" s="343" t="n">
        <x:f>IF(D177="",0,J177-I177*'Assumptions'!$B$11)</x:f>
        <x:v>0</x:v>
      </x:c>
      <x:c r="M177" s="80"/>
      <x:c r="N177" s="81"/>
    </x:row>
    <x:row r="178">
      <x:c r="A178" s="325"/>
      <x:c r="B178" s="328"/>
      <x:c r="C178" s="75"/>
      <x:c r="D178" s="81"/>
      <x:c r="E178" s="93" t="n">
        <x:f>IFERROR(VLOOKUP(D178,'Assumptions'!$A$19:$C$23,3,FALSE),0)</x:f>
        <x:v>0</x:v>
      </x:c>
      <x:c r="F178" s="94"/>
      <x:c r="G178" s="93" t="n">
        <x:f>IF(D178="",0,E178+F178)</x:f>
        <x:v>0</x:v>
      </x:c>
      <x:c r="H178" s="98" t="n">
        <x:f>IFERROR(VLOOKUP(D178,'Assumptions'!$A$19:$C$23,2,FALSE),0)</x:f>
        <x:v>0</x:v>
      </x:c>
      <x:c r="I178" s="93" t="n">
        <x:f>IF(D178="",0,H178*'Assumptions'!$B$10)</x:f>
        <x:v>0</x:v>
      </x:c>
      <x:c r="J178" s="337" t="n">
        <x:f>IF(D178="",0,G178-I178)</x:f>
        <x:v>0</x:v>
      </x:c>
      <x:c r="K178" s="331" t="n">
        <x:f>IF(G178=0,0,J178/G178)</x:f>
        <x:v>0</x:v>
      </x:c>
      <x:c r="L178" s="343" t="n">
        <x:f>IF(D178="",0,J178-I178*'Assumptions'!$B$11)</x:f>
        <x:v>0</x:v>
      </x:c>
      <x:c r="M178" s="80"/>
      <x:c r="N178" s="81"/>
    </x:row>
    <x:row r="179">
      <x:c r="A179" s="325"/>
      <x:c r="B179" s="328"/>
      <x:c r="C179" s="75"/>
      <x:c r="D179" s="81"/>
      <x:c r="E179" s="93" t="n">
        <x:f>IFERROR(VLOOKUP(D179,'Assumptions'!$A$19:$C$23,3,FALSE),0)</x:f>
        <x:v>0</x:v>
      </x:c>
      <x:c r="F179" s="94"/>
      <x:c r="G179" s="93" t="n">
        <x:f>IF(D179="",0,E179+F179)</x:f>
        <x:v>0</x:v>
      </x:c>
      <x:c r="H179" s="98" t="n">
        <x:f>IFERROR(VLOOKUP(D179,'Assumptions'!$A$19:$C$23,2,FALSE),0)</x:f>
        <x:v>0</x:v>
      </x:c>
      <x:c r="I179" s="93" t="n">
        <x:f>IF(D179="",0,H179*'Assumptions'!$B$10)</x:f>
        <x:v>0</x:v>
      </x:c>
      <x:c r="J179" s="337" t="n">
        <x:f>IF(D179="",0,G179-I179)</x:f>
        <x:v>0</x:v>
      </x:c>
      <x:c r="K179" s="331" t="n">
        <x:f>IF(G179=0,0,J179/G179)</x:f>
        <x:v>0</x:v>
      </x:c>
      <x:c r="L179" s="343" t="n">
        <x:f>IF(D179="",0,J179-I179*'Assumptions'!$B$11)</x:f>
        <x:v>0</x:v>
      </x:c>
      <x:c r="M179" s="80"/>
      <x:c r="N179" s="81"/>
    </x:row>
    <x:row r="180">
      <x:c r="A180" s="325"/>
      <x:c r="B180" s="328"/>
      <x:c r="C180" s="75"/>
      <x:c r="D180" s="81"/>
      <x:c r="E180" s="93" t="n">
        <x:f>IFERROR(VLOOKUP(D180,'Assumptions'!$A$19:$C$23,3,FALSE),0)</x:f>
        <x:v>0</x:v>
      </x:c>
      <x:c r="F180" s="94"/>
      <x:c r="G180" s="93" t="n">
        <x:f>IF(D180="",0,E180+F180)</x:f>
        <x:v>0</x:v>
      </x:c>
      <x:c r="H180" s="98" t="n">
        <x:f>IFERROR(VLOOKUP(D180,'Assumptions'!$A$19:$C$23,2,FALSE),0)</x:f>
        <x:v>0</x:v>
      </x:c>
      <x:c r="I180" s="93" t="n">
        <x:f>IF(D180="",0,H180*'Assumptions'!$B$10)</x:f>
        <x:v>0</x:v>
      </x:c>
      <x:c r="J180" s="337" t="n">
        <x:f>IF(D180="",0,G180-I180)</x:f>
        <x:v>0</x:v>
      </x:c>
      <x:c r="K180" s="331" t="n">
        <x:f>IF(G180=0,0,J180/G180)</x:f>
        <x:v>0</x:v>
      </x:c>
      <x:c r="L180" s="343" t="n">
        <x:f>IF(D180="",0,J180-I180*'Assumptions'!$B$11)</x:f>
        <x:v>0</x:v>
      </x:c>
      <x:c r="M180" s="80"/>
      <x:c r="N180" s="81"/>
    </x:row>
    <x:row r="181">
      <x:c r="A181" s="325"/>
      <x:c r="B181" s="328"/>
      <x:c r="C181" s="75"/>
      <x:c r="D181" s="81"/>
      <x:c r="E181" s="93" t="n">
        <x:f>IFERROR(VLOOKUP(D181,'Assumptions'!$A$19:$C$23,3,FALSE),0)</x:f>
        <x:v>0</x:v>
      </x:c>
      <x:c r="F181" s="94"/>
      <x:c r="G181" s="93" t="n">
        <x:f>IF(D181="",0,E181+F181)</x:f>
        <x:v>0</x:v>
      </x:c>
      <x:c r="H181" s="98" t="n">
        <x:f>IFERROR(VLOOKUP(D181,'Assumptions'!$A$19:$C$23,2,FALSE),0)</x:f>
        <x:v>0</x:v>
      </x:c>
      <x:c r="I181" s="93" t="n">
        <x:f>IF(D181="",0,H181*'Assumptions'!$B$10)</x:f>
        <x:v>0</x:v>
      </x:c>
      <x:c r="J181" s="337" t="n">
        <x:f>IF(D181="",0,G181-I181)</x:f>
        <x:v>0</x:v>
      </x:c>
      <x:c r="K181" s="331" t="n">
        <x:f>IF(G181=0,0,J181/G181)</x:f>
        <x:v>0</x:v>
      </x:c>
      <x:c r="L181" s="343" t="n">
        <x:f>IF(D181="",0,J181-I181*'Assumptions'!$B$11)</x:f>
        <x:v>0</x:v>
      </x:c>
      <x:c r="M181" s="80"/>
      <x:c r="N181" s="81"/>
    </x:row>
    <x:row r="182">
      <x:c r="A182" s="325"/>
      <x:c r="B182" s="328"/>
      <x:c r="C182" s="75"/>
      <x:c r="D182" s="81"/>
      <x:c r="E182" s="93" t="n">
        <x:f>IFERROR(VLOOKUP(D182,'Assumptions'!$A$19:$C$23,3,FALSE),0)</x:f>
        <x:v>0</x:v>
      </x:c>
      <x:c r="F182" s="94"/>
      <x:c r="G182" s="93" t="n">
        <x:f>IF(D182="",0,E182+F182)</x:f>
        <x:v>0</x:v>
      </x:c>
      <x:c r="H182" s="98" t="n">
        <x:f>IFERROR(VLOOKUP(D182,'Assumptions'!$A$19:$C$23,2,FALSE),0)</x:f>
        <x:v>0</x:v>
      </x:c>
      <x:c r="I182" s="93" t="n">
        <x:f>IF(D182="",0,H182*'Assumptions'!$B$10)</x:f>
        <x:v>0</x:v>
      </x:c>
      <x:c r="J182" s="337" t="n">
        <x:f>IF(D182="",0,G182-I182)</x:f>
        <x:v>0</x:v>
      </x:c>
      <x:c r="K182" s="331" t="n">
        <x:f>IF(G182=0,0,J182/G182)</x:f>
        <x:v>0</x:v>
      </x:c>
      <x:c r="L182" s="343" t="n">
        <x:f>IF(D182="",0,J182-I182*'Assumptions'!$B$11)</x:f>
        <x:v>0</x:v>
      </x:c>
      <x:c r="M182" s="80"/>
      <x:c r="N182" s="81"/>
    </x:row>
    <x:row r="183">
      <x:c r="A183" s="325"/>
      <x:c r="B183" s="328"/>
      <x:c r="C183" s="75"/>
      <x:c r="D183" s="81"/>
      <x:c r="E183" s="93" t="n">
        <x:f>IFERROR(VLOOKUP(D183,'Assumptions'!$A$19:$C$23,3,FALSE),0)</x:f>
        <x:v>0</x:v>
      </x:c>
      <x:c r="F183" s="94"/>
      <x:c r="G183" s="93" t="n">
        <x:f>IF(D183="",0,E183+F183)</x:f>
        <x:v>0</x:v>
      </x:c>
      <x:c r="H183" s="98" t="n">
        <x:f>IFERROR(VLOOKUP(D183,'Assumptions'!$A$19:$C$23,2,FALSE),0)</x:f>
        <x:v>0</x:v>
      </x:c>
      <x:c r="I183" s="93" t="n">
        <x:f>IF(D183="",0,H183*'Assumptions'!$B$10)</x:f>
        <x:v>0</x:v>
      </x:c>
      <x:c r="J183" s="337" t="n">
        <x:f>IF(D183="",0,G183-I183)</x:f>
        <x:v>0</x:v>
      </x:c>
      <x:c r="K183" s="331" t="n">
        <x:f>IF(G183=0,0,J183/G183)</x:f>
        <x:v>0</x:v>
      </x:c>
      <x:c r="L183" s="343" t="n">
        <x:f>IF(D183="",0,J183-I183*'Assumptions'!$B$11)</x:f>
        <x:v>0</x:v>
      </x:c>
      <x:c r="M183" s="80"/>
      <x:c r="N183" s="81"/>
    </x:row>
    <x:row r="184">
      <x:c r="A184" s="325"/>
      <x:c r="B184" s="328"/>
      <x:c r="C184" s="75"/>
      <x:c r="D184" s="81"/>
      <x:c r="E184" s="93" t="n">
        <x:f>IFERROR(VLOOKUP(D184,'Assumptions'!$A$19:$C$23,3,FALSE),0)</x:f>
        <x:v>0</x:v>
      </x:c>
      <x:c r="F184" s="94"/>
      <x:c r="G184" s="93" t="n">
        <x:f>IF(D184="",0,E184+F184)</x:f>
        <x:v>0</x:v>
      </x:c>
      <x:c r="H184" s="98" t="n">
        <x:f>IFERROR(VLOOKUP(D184,'Assumptions'!$A$19:$C$23,2,FALSE),0)</x:f>
        <x:v>0</x:v>
      </x:c>
      <x:c r="I184" s="93" t="n">
        <x:f>IF(D184="",0,H184*'Assumptions'!$B$10)</x:f>
        <x:v>0</x:v>
      </x:c>
      <x:c r="J184" s="337" t="n">
        <x:f>IF(D184="",0,G184-I184)</x:f>
        <x:v>0</x:v>
      </x:c>
      <x:c r="K184" s="331" t="n">
        <x:f>IF(G184=0,0,J184/G184)</x:f>
        <x:v>0</x:v>
      </x:c>
      <x:c r="L184" s="343" t="n">
        <x:f>IF(D184="",0,J184-I184*'Assumptions'!$B$11)</x:f>
        <x:v>0</x:v>
      </x:c>
      <x:c r="M184" s="80"/>
      <x:c r="N184" s="81"/>
    </x:row>
    <x:row r="185">
      <x:c r="A185" s="325"/>
      <x:c r="B185" s="328"/>
      <x:c r="C185" s="75"/>
      <x:c r="D185" s="81"/>
      <x:c r="E185" s="93" t="n">
        <x:f>IFERROR(VLOOKUP(D185,'Assumptions'!$A$19:$C$23,3,FALSE),0)</x:f>
        <x:v>0</x:v>
      </x:c>
      <x:c r="F185" s="94"/>
      <x:c r="G185" s="93" t="n">
        <x:f>IF(D185="",0,E185+F185)</x:f>
        <x:v>0</x:v>
      </x:c>
      <x:c r="H185" s="98" t="n">
        <x:f>IFERROR(VLOOKUP(D185,'Assumptions'!$A$19:$C$23,2,FALSE),0)</x:f>
        <x:v>0</x:v>
      </x:c>
      <x:c r="I185" s="93" t="n">
        <x:f>IF(D185="",0,H185*'Assumptions'!$B$10)</x:f>
        <x:v>0</x:v>
      </x:c>
      <x:c r="J185" s="337" t="n">
        <x:f>IF(D185="",0,G185-I185)</x:f>
        <x:v>0</x:v>
      </x:c>
      <x:c r="K185" s="331" t="n">
        <x:f>IF(G185=0,0,J185/G185)</x:f>
        <x:v>0</x:v>
      </x:c>
      <x:c r="L185" s="343" t="n">
        <x:f>IF(D185="",0,J185-I185*'Assumptions'!$B$11)</x:f>
        <x:v>0</x:v>
      </x:c>
      <x:c r="M185" s="80"/>
      <x:c r="N185" s="81"/>
    </x:row>
    <x:row r="186">
      <x:c r="A186" s="325"/>
      <x:c r="B186" s="328"/>
      <x:c r="C186" s="75"/>
      <x:c r="D186" s="81"/>
      <x:c r="E186" s="93" t="n">
        <x:f>IFERROR(VLOOKUP(D186,'Assumptions'!$A$19:$C$23,3,FALSE),0)</x:f>
        <x:v>0</x:v>
      </x:c>
      <x:c r="F186" s="94"/>
      <x:c r="G186" s="93" t="n">
        <x:f>IF(D186="",0,E186+F186)</x:f>
        <x:v>0</x:v>
      </x:c>
      <x:c r="H186" s="98" t="n">
        <x:f>IFERROR(VLOOKUP(D186,'Assumptions'!$A$19:$C$23,2,FALSE),0)</x:f>
        <x:v>0</x:v>
      </x:c>
      <x:c r="I186" s="93" t="n">
        <x:f>IF(D186="",0,H186*'Assumptions'!$B$10)</x:f>
        <x:v>0</x:v>
      </x:c>
      <x:c r="J186" s="337" t="n">
        <x:f>IF(D186="",0,G186-I186)</x:f>
        <x:v>0</x:v>
      </x:c>
      <x:c r="K186" s="331" t="n">
        <x:f>IF(G186=0,0,J186/G186)</x:f>
        <x:v>0</x:v>
      </x:c>
      <x:c r="L186" s="343" t="n">
        <x:f>IF(D186="",0,J186-I186*'Assumptions'!$B$11)</x:f>
        <x:v>0</x:v>
      </x:c>
      <x:c r="M186" s="80"/>
      <x:c r="N186" s="81"/>
    </x:row>
    <x:row r="187">
      <x:c r="A187" s="325"/>
      <x:c r="B187" s="328"/>
      <x:c r="C187" s="75"/>
      <x:c r="D187" s="81"/>
      <x:c r="E187" s="93" t="n">
        <x:f>IFERROR(VLOOKUP(D187,'Assumptions'!$A$19:$C$23,3,FALSE),0)</x:f>
        <x:v>0</x:v>
      </x:c>
      <x:c r="F187" s="94"/>
      <x:c r="G187" s="93" t="n">
        <x:f>IF(D187="",0,E187+F187)</x:f>
        <x:v>0</x:v>
      </x:c>
      <x:c r="H187" s="98" t="n">
        <x:f>IFERROR(VLOOKUP(D187,'Assumptions'!$A$19:$C$23,2,FALSE),0)</x:f>
        <x:v>0</x:v>
      </x:c>
      <x:c r="I187" s="93" t="n">
        <x:f>IF(D187="",0,H187*'Assumptions'!$B$10)</x:f>
        <x:v>0</x:v>
      </x:c>
      <x:c r="J187" s="337" t="n">
        <x:f>IF(D187="",0,G187-I187)</x:f>
        <x:v>0</x:v>
      </x:c>
      <x:c r="K187" s="331" t="n">
        <x:f>IF(G187=0,0,J187/G187)</x:f>
        <x:v>0</x:v>
      </x:c>
      <x:c r="L187" s="343" t="n">
        <x:f>IF(D187="",0,J187-I187*'Assumptions'!$B$11)</x:f>
        <x:v>0</x:v>
      </x:c>
      <x:c r="M187" s="80"/>
      <x:c r="N187" s="81"/>
    </x:row>
    <x:row r="188">
      <x:c r="A188" s="325"/>
      <x:c r="B188" s="328"/>
      <x:c r="C188" s="75"/>
      <x:c r="D188" s="81"/>
      <x:c r="E188" s="93" t="n">
        <x:f>IFERROR(VLOOKUP(D188,'Assumptions'!$A$19:$C$23,3,FALSE),0)</x:f>
        <x:v>0</x:v>
      </x:c>
      <x:c r="F188" s="94"/>
      <x:c r="G188" s="93" t="n">
        <x:f>IF(D188="",0,E188+F188)</x:f>
        <x:v>0</x:v>
      </x:c>
      <x:c r="H188" s="98" t="n">
        <x:f>IFERROR(VLOOKUP(D188,'Assumptions'!$A$19:$C$23,2,FALSE),0)</x:f>
        <x:v>0</x:v>
      </x:c>
      <x:c r="I188" s="93" t="n">
        <x:f>IF(D188="",0,H188*'Assumptions'!$B$10)</x:f>
        <x:v>0</x:v>
      </x:c>
      <x:c r="J188" s="337" t="n">
        <x:f>IF(D188="",0,G188-I188)</x:f>
        <x:v>0</x:v>
      </x:c>
      <x:c r="K188" s="331" t="n">
        <x:f>IF(G188=0,0,J188/G188)</x:f>
        <x:v>0</x:v>
      </x:c>
      <x:c r="L188" s="343" t="n">
        <x:f>IF(D188="",0,J188-I188*'Assumptions'!$B$11)</x:f>
        <x:v>0</x:v>
      </x:c>
      <x:c r="M188" s="80"/>
      <x:c r="N188" s="81"/>
    </x:row>
    <x:row r="189">
      <x:c r="A189" s="325"/>
      <x:c r="B189" s="328"/>
      <x:c r="C189" s="75"/>
      <x:c r="D189" s="81"/>
      <x:c r="E189" s="93" t="n">
        <x:f>IFERROR(VLOOKUP(D189,'Assumptions'!$A$19:$C$23,3,FALSE),0)</x:f>
        <x:v>0</x:v>
      </x:c>
      <x:c r="F189" s="94"/>
      <x:c r="G189" s="93" t="n">
        <x:f>IF(D189="",0,E189+F189)</x:f>
        <x:v>0</x:v>
      </x:c>
      <x:c r="H189" s="98" t="n">
        <x:f>IFERROR(VLOOKUP(D189,'Assumptions'!$A$19:$C$23,2,FALSE),0)</x:f>
        <x:v>0</x:v>
      </x:c>
      <x:c r="I189" s="93" t="n">
        <x:f>IF(D189="",0,H189*'Assumptions'!$B$10)</x:f>
        <x:v>0</x:v>
      </x:c>
      <x:c r="J189" s="337" t="n">
        <x:f>IF(D189="",0,G189-I189)</x:f>
        <x:v>0</x:v>
      </x:c>
      <x:c r="K189" s="331" t="n">
        <x:f>IF(G189=0,0,J189/G189)</x:f>
        <x:v>0</x:v>
      </x:c>
      <x:c r="L189" s="343" t="n">
        <x:f>IF(D189="",0,J189-I189*'Assumptions'!$B$11)</x:f>
        <x:v>0</x:v>
      </x:c>
      <x:c r="M189" s="80"/>
      <x:c r="N189" s="81"/>
    </x:row>
    <x:row r="190">
      <x:c r="A190" s="325"/>
      <x:c r="B190" s="328"/>
      <x:c r="C190" s="75"/>
      <x:c r="D190" s="81"/>
      <x:c r="E190" s="93" t="n">
        <x:f>IFERROR(VLOOKUP(D190,'Assumptions'!$A$19:$C$23,3,FALSE),0)</x:f>
        <x:v>0</x:v>
      </x:c>
      <x:c r="F190" s="94"/>
      <x:c r="G190" s="93" t="n">
        <x:f>IF(D190="",0,E190+F190)</x:f>
        <x:v>0</x:v>
      </x:c>
      <x:c r="H190" s="98" t="n">
        <x:f>IFERROR(VLOOKUP(D190,'Assumptions'!$A$19:$C$23,2,FALSE),0)</x:f>
        <x:v>0</x:v>
      </x:c>
      <x:c r="I190" s="93" t="n">
        <x:f>IF(D190="",0,H190*'Assumptions'!$B$10)</x:f>
        <x:v>0</x:v>
      </x:c>
      <x:c r="J190" s="337" t="n">
        <x:f>IF(D190="",0,G190-I190)</x:f>
        <x:v>0</x:v>
      </x:c>
      <x:c r="K190" s="331" t="n">
        <x:f>IF(G190=0,0,J190/G190)</x:f>
        <x:v>0</x:v>
      </x:c>
      <x:c r="L190" s="343" t="n">
        <x:f>IF(D190="",0,J190-I190*'Assumptions'!$B$11)</x:f>
        <x:v>0</x:v>
      </x:c>
      <x:c r="M190" s="80"/>
      <x:c r="N190" s="81"/>
    </x:row>
    <x:row r="191">
      <x:c r="A191" s="325"/>
      <x:c r="B191" s="328"/>
      <x:c r="C191" s="75"/>
      <x:c r="D191" s="81"/>
      <x:c r="E191" s="93" t="n">
        <x:f>IFERROR(VLOOKUP(D191,'Assumptions'!$A$19:$C$23,3,FALSE),0)</x:f>
        <x:v>0</x:v>
      </x:c>
      <x:c r="F191" s="94"/>
      <x:c r="G191" s="93" t="n">
        <x:f>IF(D191="",0,E191+F191)</x:f>
        <x:v>0</x:v>
      </x:c>
      <x:c r="H191" s="98" t="n">
        <x:f>IFERROR(VLOOKUP(D191,'Assumptions'!$A$19:$C$23,2,FALSE),0)</x:f>
        <x:v>0</x:v>
      </x:c>
      <x:c r="I191" s="93" t="n">
        <x:f>IF(D191="",0,H191*'Assumptions'!$B$10)</x:f>
        <x:v>0</x:v>
      </x:c>
      <x:c r="J191" s="337" t="n">
        <x:f>IF(D191="",0,G191-I191)</x:f>
        <x:v>0</x:v>
      </x:c>
      <x:c r="K191" s="331" t="n">
        <x:f>IF(G191=0,0,J191/G191)</x:f>
        <x:v>0</x:v>
      </x:c>
      <x:c r="L191" s="343" t="n">
        <x:f>IF(D191="",0,J191-I191*'Assumptions'!$B$11)</x:f>
        <x:v>0</x:v>
      </x:c>
      <x:c r="M191" s="80"/>
      <x:c r="N191" s="81"/>
    </x:row>
    <x:row r="192">
      <x:c r="A192" s="325"/>
      <x:c r="B192" s="328"/>
      <x:c r="C192" s="75"/>
      <x:c r="D192" s="81"/>
      <x:c r="E192" s="93" t="n">
        <x:f>IFERROR(VLOOKUP(D192,'Assumptions'!$A$19:$C$23,3,FALSE),0)</x:f>
        <x:v>0</x:v>
      </x:c>
      <x:c r="F192" s="94"/>
      <x:c r="G192" s="93" t="n">
        <x:f>IF(D192="",0,E192+F192)</x:f>
        <x:v>0</x:v>
      </x:c>
      <x:c r="H192" s="98" t="n">
        <x:f>IFERROR(VLOOKUP(D192,'Assumptions'!$A$19:$C$23,2,FALSE),0)</x:f>
        <x:v>0</x:v>
      </x:c>
      <x:c r="I192" s="93" t="n">
        <x:f>IF(D192="",0,H192*'Assumptions'!$B$10)</x:f>
        <x:v>0</x:v>
      </x:c>
      <x:c r="J192" s="337" t="n">
        <x:f>IF(D192="",0,G192-I192)</x:f>
        <x:v>0</x:v>
      </x:c>
      <x:c r="K192" s="331" t="n">
        <x:f>IF(G192=0,0,J192/G192)</x:f>
        <x:v>0</x:v>
      </x:c>
      <x:c r="L192" s="343" t="n">
        <x:f>IF(D192="",0,J192-I192*'Assumptions'!$B$11)</x:f>
        <x:v>0</x:v>
      </x:c>
      <x:c r="M192" s="80"/>
      <x:c r="N192" s="81"/>
    </x:row>
    <x:row r="193">
      <x:c r="A193" s="325"/>
      <x:c r="B193" s="328"/>
      <x:c r="C193" s="75"/>
      <x:c r="D193" s="81"/>
      <x:c r="E193" s="93" t="n">
        <x:f>IFERROR(VLOOKUP(D193,'Assumptions'!$A$19:$C$23,3,FALSE),0)</x:f>
        <x:v>0</x:v>
      </x:c>
      <x:c r="F193" s="94"/>
      <x:c r="G193" s="93" t="n">
        <x:f>IF(D193="",0,E193+F193)</x:f>
        <x:v>0</x:v>
      </x:c>
      <x:c r="H193" s="98" t="n">
        <x:f>IFERROR(VLOOKUP(D193,'Assumptions'!$A$19:$C$23,2,FALSE),0)</x:f>
        <x:v>0</x:v>
      </x:c>
      <x:c r="I193" s="93" t="n">
        <x:f>IF(D193="",0,H193*'Assumptions'!$B$10)</x:f>
        <x:v>0</x:v>
      </x:c>
      <x:c r="J193" s="337" t="n">
        <x:f>IF(D193="",0,G193-I193)</x:f>
        <x:v>0</x:v>
      </x:c>
      <x:c r="K193" s="331" t="n">
        <x:f>IF(G193=0,0,J193/G193)</x:f>
        <x:v>0</x:v>
      </x:c>
      <x:c r="L193" s="343" t="n">
        <x:f>IF(D193="",0,J193-I193*'Assumptions'!$B$11)</x:f>
        <x:v>0</x:v>
      </x:c>
      <x:c r="M193" s="80"/>
      <x:c r="N193" s="81"/>
    </x:row>
    <x:row r="194">
      <x:c r="A194" s="325"/>
      <x:c r="B194" s="328"/>
      <x:c r="C194" s="75"/>
      <x:c r="D194" s="81"/>
      <x:c r="E194" s="93" t="n">
        <x:f>IFERROR(VLOOKUP(D194,'Assumptions'!$A$19:$C$23,3,FALSE),0)</x:f>
        <x:v>0</x:v>
      </x:c>
      <x:c r="F194" s="94"/>
      <x:c r="G194" s="93" t="n">
        <x:f>IF(D194="",0,E194+F194)</x:f>
        <x:v>0</x:v>
      </x:c>
      <x:c r="H194" s="98" t="n">
        <x:f>IFERROR(VLOOKUP(D194,'Assumptions'!$A$19:$C$23,2,FALSE),0)</x:f>
        <x:v>0</x:v>
      </x:c>
      <x:c r="I194" s="93" t="n">
        <x:f>IF(D194="",0,H194*'Assumptions'!$B$10)</x:f>
        <x:v>0</x:v>
      </x:c>
      <x:c r="J194" s="337" t="n">
        <x:f>IF(D194="",0,G194-I194)</x:f>
        <x:v>0</x:v>
      </x:c>
      <x:c r="K194" s="331" t="n">
        <x:f>IF(G194=0,0,J194/G194)</x:f>
        <x:v>0</x:v>
      </x:c>
      <x:c r="L194" s="343" t="n">
        <x:f>IF(D194="",0,J194-I194*'Assumptions'!$B$11)</x:f>
        <x:v>0</x:v>
      </x:c>
      <x:c r="M194" s="80"/>
      <x:c r="N194" s="81"/>
    </x:row>
    <x:row r="195">
      <x:c r="A195" s="325"/>
      <x:c r="B195" s="328"/>
      <x:c r="C195" s="75"/>
      <x:c r="D195" s="81"/>
      <x:c r="E195" s="93" t="n">
        <x:f>IFERROR(VLOOKUP(D195,'Assumptions'!$A$19:$C$23,3,FALSE),0)</x:f>
        <x:v>0</x:v>
      </x:c>
      <x:c r="F195" s="94"/>
      <x:c r="G195" s="93" t="n">
        <x:f>IF(D195="",0,E195+F195)</x:f>
        <x:v>0</x:v>
      </x:c>
      <x:c r="H195" s="98" t="n">
        <x:f>IFERROR(VLOOKUP(D195,'Assumptions'!$A$19:$C$23,2,FALSE),0)</x:f>
        <x:v>0</x:v>
      </x:c>
      <x:c r="I195" s="93" t="n">
        <x:f>IF(D195="",0,H195*'Assumptions'!$B$10)</x:f>
        <x:v>0</x:v>
      </x:c>
      <x:c r="J195" s="337" t="n">
        <x:f>IF(D195="",0,G195-I195)</x:f>
        <x:v>0</x:v>
      </x:c>
      <x:c r="K195" s="331" t="n">
        <x:f>IF(G195=0,0,J195/G195)</x:f>
        <x:v>0</x:v>
      </x:c>
      <x:c r="L195" s="343" t="n">
        <x:f>IF(D195="",0,J195-I195*'Assumptions'!$B$11)</x:f>
        <x:v>0</x:v>
      </x:c>
      <x:c r="M195" s="80"/>
      <x:c r="N195" s="81"/>
    </x:row>
    <x:row r="196">
      <x:c r="A196" s="325"/>
      <x:c r="B196" s="328"/>
      <x:c r="C196" s="75"/>
      <x:c r="D196" s="81"/>
      <x:c r="E196" s="93" t="n">
        <x:f>IFERROR(VLOOKUP(D196,'Assumptions'!$A$19:$C$23,3,FALSE),0)</x:f>
        <x:v>0</x:v>
      </x:c>
      <x:c r="F196" s="94"/>
      <x:c r="G196" s="93" t="n">
        <x:f>IF(D196="",0,E196+F196)</x:f>
        <x:v>0</x:v>
      </x:c>
      <x:c r="H196" s="98" t="n">
        <x:f>IFERROR(VLOOKUP(D196,'Assumptions'!$A$19:$C$23,2,FALSE),0)</x:f>
        <x:v>0</x:v>
      </x:c>
      <x:c r="I196" s="93" t="n">
        <x:f>IF(D196="",0,H196*'Assumptions'!$B$10)</x:f>
        <x:v>0</x:v>
      </x:c>
      <x:c r="J196" s="337" t="n">
        <x:f>IF(D196="",0,G196-I196)</x:f>
        <x:v>0</x:v>
      </x:c>
      <x:c r="K196" s="331" t="n">
        <x:f>IF(G196=0,0,J196/G196)</x:f>
        <x:v>0</x:v>
      </x:c>
      <x:c r="L196" s="343" t="n">
        <x:f>IF(D196="",0,J196-I196*'Assumptions'!$B$11)</x:f>
        <x:v>0</x:v>
      </x:c>
      <x:c r="M196" s="80"/>
      <x:c r="N196" s="81"/>
    </x:row>
    <x:row r="197">
      <x:c r="A197" s="325"/>
      <x:c r="B197" s="328"/>
      <x:c r="C197" s="75"/>
      <x:c r="D197" s="81"/>
      <x:c r="E197" s="93" t="n">
        <x:f>IFERROR(VLOOKUP(D197,'Assumptions'!$A$19:$C$23,3,FALSE),0)</x:f>
        <x:v>0</x:v>
      </x:c>
      <x:c r="F197" s="94"/>
      <x:c r="G197" s="93" t="n">
        <x:f>IF(D197="",0,E197+F197)</x:f>
        <x:v>0</x:v>
      </x:c>
      <x:c r="H197" s="98" t="n">
        <x:f>IFERROR(VLOOKUP(D197,'Assumptions'!$A$19:$C$23,2,FALSE),0)</x:f>
        <x:v>0</x:v>
      </x:c>
      <x:c r="I197" s="93" t="n">
        <x:f>IF(D197="",0,H197*'Assumptions'!$B$10)</x:f>
        <x:v>0</x:v>
      </x:c>
      <x:c r="J197" s="337" t="n">
        <x:f>IF(D197="",0,G197-I197)</x:f>
        <x:v>0</x:v>
      </x:c>
      <x:c r="K197" s="331" t="n">
        <x:f>IF(G197=0,0,J197/G197)</x:f>
        <x:v>0</x:v>
      </x:c>
      <x:c r="L197" s="343" t="n">
        <x:f>IF(D197="",0,J197-I197*'Assumptions'!$B$11)</x:f>
        <x:v>0</x:v>
      </x:c>
      <x:c r="M197" s="80"/>
      <x:c r="N197" s="81"/>
    </x:row>
    <x:row r="198">
      <x:c r="A198" s="325"/>
      <x:c r="B198" s="328"/>
      <x:c r="C198" s="75"/>
      <x:c r="D198" s="81"/>
      <x:c r="E198" s="93" t="n">
        <x:f>IFERROR(VLOOKUP(D198,'Assumptions'!$A$19:$C$23,3,FALSE),0)</x:f>
        <x:v>0</x:v>
      </x:c>
      <x:c r="F198" s="94"/>
      <x:c r="G198" s="93" t="n">
        <x:f>IF(D198="",0,E198+F198)</x:f>
        <x:v>0</x:v>
      </x:c>
      <x:c r="H198" s="98" t="n">
        <x:f>IFERROR(VLOOKUP(D198,'Assumptions'!$A$19:$C$23,2,FALSE),0)</x:f>
        <x:v>0</x:v>
      </x:c>
      <x:c r="I198" s="93" t="n">
        <x:f>IF(D198="",0,H198*'Assumptions'!$B$10)</x:f>
        <x:v>0</x:v>
      </x:c>
      <x:c r="J198" s="337" t="n">
        <x:f>IF(D198="",0,G198-I198)</x:f>
        <x:v>0</x:v>
      </x:c>
      <x:c r="K198" s="331" t="n">
        <x:f>IF(G198=0,0,J198/G198)</x:f>
        <x:v>0</x:v>
      </x:c>
      <x:c r="L198" s="343" t="n">
        <x:f>IF(D198="",0,J198-I198*'Assumptions'!$B$11)</x:f>
        <x:v>0</x:v>
      </x:c>
      <x:c r="M198" s="80"/>
      <x:c r="N198" s="81"/>
    </x:row>
    <x:row r="199">
      <x:c r="A199" s="325"/>
      <x:c r="B199" s="328"/>
      <x:c r="C199" s="75"/>
      <x:c r="D199" s="81"/>
      <x:c r="E199" s="93" t="n">
        <x:f>IFERROR(VLOOKUP(D199,'Assumptions'!$A$19:$C$23,3,FALSE),0)</x:f>
        <x:v>0</x:v>
      </x:c>
      <x:c r="F199" s="94"/>
      <x:c r="G199" s="93" t="n">
        <x:f>IF(D199="",0,E199+F199)</x:f>
        <x:v>0</x:v>
      </x:c>
      <x:c r="H199" s="98" t="n">
        <x:f>IFERROR(VLOOKUP(D199,'Assumptions'!$A$19:$C$23,2,FALSE),0)</x:f>
        <x:v>0</x:v>
      </x:c>
      <x:c r="I199" s="93" t="n">
        <x:f>IF(D199="",0,H199*'Assumptions'!$B$10)</x:f>
        <x:v>0</x:v>
      </x:c>
      <x:c r="J199" s="337" t="n">
        <x:f>IF(D199="",0,G199-I199)</x:f>
        <x:v>0</x:v>
      </x:c>
      <x:c r="K199" s="331" t="n">
        <x:f>IF(G199=0,0,J199/G199)</x:f>
        <x:v>0</x:v>
      </x:c>
      <x:c r="L199" s="343" t="n">
        <x:f>IF(D199="",0,J199-I199*'Assumptions'!$B$11)</x:f>
        <x:v>0</x:v>
      </x:c>
      <x:c r="M199" s="80"/>
      <x:c r="N199" s="81"/>
    </x:row>
    <x:row r="200">
      <x:c r="A200" s="325"/>
      <x:c r="B200" s="328"/>
      <x:c r="C200" s="75"/>
      <x:c r="D200" s="81"/>
      <x:c r="E200" s="93" t="n">
        <x:f>IFERROR(VLOOKUP(D200,'Assumptions'!$A$19:$C$23,3,FALSE),0)</x:f>
        <x:v>0</x:v>
      </x:c>
      <x:c r="F200" s="94"/>
      <x:c r="G200" s="93" t="n">
        <x:f>IF(D200="",0,E200+F200)</x:f>
        <x:v>0</x:v>
      </x:c>
      <x:c r="H200" s="98" t="n">
        <x:f>IFERROR(VLOOKUP(D200,'Assumptions'!$A$19:$C$23,2,FALSE),0)</x:f>
        <x:v>0</x:v>
      </x:c>
      <x:c r="I200" s="93" t="n">
        <x:f>IF(D200="",0,H200*'Assumptions'!$B$10)</x:f>
        <x:v>0</x:v>
      </x:c>
      <x:c r="J200" s="337" t="n">
        <x:f>IF(D200="",0,G200-I200)</x:f>
        <x:v>0</x:v>
      </x:c>
      <x:c r="K200" s="331" t="n">
        <x:f>IF(G200=0,0,J200/G200)</x:f>
        <x:v>0</x:v>
      </x:c>
      <x:c r="L200" s="343" t="n">
        <x:f>IF(D200="",0,J200-I200*'Assumptions'!$B$11)</x:f>
        <x:v>0</x:v>
      </x:c>
      <x:c r="M200" s="80"/>
      <x:c r="N200" s="81"/>
    </x:row>
    <x:row r="201">
      <x:c r="A201" s="325"/>
      <x:c r="B201" s="328"/>
      <x:c r="C201" s="75"/>
      <x:c r="D201" s="81"/>
      <x:c r="E201" s="93" t="n">
        <x:f>IFERROR(VLOOKUP(D201,'Assumptions'!$A$19:$C$23,3,FALSE),0)</x:f>
        <x:v>0</x:v>
      </x:c>
      <x:c r="F201" s="94"/>
      <x:c r="G201" s="93" t="n">
        <x:f>IF(D201="",0,E201+F201)</x:f>
        <x:v>0</x:v>
      </x:c>
      <x:c r="H201" s="98" t="n">
        <x:f>IFERROR(VLOOKUP(D201,'Assumptions'!$A$19:$C$23,2,FALSE),0)</x:f>
        <x:v>0</x:v>
      </x:c>
      <x:c r="I201" s="93" t="n">
        <x:f>IF(D201="",0,H201*'Assumptions'!$B$10)</x:f>
        <x:v>0</x:v>
      </x:c>
      <x:c r="J201" s="337" t="n">
        <x:f>IF(D201="",0,G201-I201)</x:f>
        <x:v>0</x:v>
      </x:c>
      <x:c r="K201" s="331" t="n">
        <x:f>IF(G201=0,0,J201/G201)</x:f>
        <x:v>0</x:v>
      </x:c>
      <x:c r="L201" s="343" t="n">
        <x:f>IF(D201="",0,J201-I201*'Assumptions'!$B$11)</x:f>
        <x:v>0</x:v>
      </x:c>
      <x:c r="M201" s="80"/>
      <x:c r="N201" s="81"/>
    </x:row>
    <x:row r="202">
      <x:c r="A202" s="325"/>
      <x:c r="B202" s="328"/>
      <x:c r="C202" s="75"/>
      <x:c r="D202" s="81"/>
      <x:c r="E202" s="93" t="n">
        <x:f>IFERROR(VLOOKUP(D202,'Assumptions'!$A$19:$C$23,3,FALSE),0)</x:f>
        <x:v>0</x:v>
      </x:c>
      <x:c r="F202" s="94"/>
      <x:c r="G202" s="93" t="n">
        <x:f>IF(D202="",0,E202+F202)</x:f>
        <x:v>0</x:v>
      </x:c>
      <x:c r="H202" s="98" t="n">
        <x:f>IFERROR(VLOOKUP(D202,'Assumptions'!$A$19:$C$23,2,FALSE),0)</x:f>
        <x:v>0</x:v>
      </x:c>
      <x:c r="I202" s="93" t="n">
        <x:f>IF(D202="",0,H202*'Assumptions'!$B$10)</x:f>
        <x:v>0</x:v>
      </x:c>
      <x:c r="J202" s="337" t="n">
        <x:f>IF(D202="",0,G202-I202)</x:f>
        <x:v>0</x:v>
      </x:c>
      <x:c r="K202" s="331" t="n">
        <x:f>IF(G202=0,0,J202/G202)</x:f>
        <x:v>0</x:v>
      </x:c>
      <x:c r="L202" s="343" t="n">
        <x:f>IF(D202="",0,J202-I202*'Assumptions'!$B$11)</x:f>
        <x:v>0</x:v>
      </x:c>
      <x:c r="M202" s="80"/>
      <x:c r="N202" s="81"/>
    </x:row>
    <x:row r="203">
      <x:c r="A203" s="325"/>
      <x:c r="B203" s="328"/>
      <x:c r="C203" s="75"/>
      <x:c r="D203" s="81"/>
      <x:c r="E203" s="93" t="n">
        <x:f>IFERROR(VLOOKUP(D203,'Assumptions'!$A$19:$C$23,3,FALSE),0)</x:f>
        <x:v>0</x:v>
      </x:c>
      <x:c r="F203" s="94"/>
      <x:c r="G203" s="93" t="n">
        <x:f>IF(D203="",0,E203+F203)</x:f>
        <x:v>0</x:v>
      </x:c>
      <x:c r="H203" s="98" t="n">
        <x:f>IFERROR(VLOOKUP(D203,'Assumptions'!$A$19:$C$23,2,FALSE),0)</x:f>
        <x:v>0</x:v>
      </x:c>
      <x:c r="I203" s="93" t="n">
        <x:f>IF(D203="",0,H203*'Assumptions'!$B$10)</x:f>
        <x:v>0</x:v>
      </x:c>
      <x:c r="J203" s="337" t="n">
        <x:f>IF(D203="",0,G203-I203)</x:f>
        <x:v>0</x:v>
      </x:c>
      <x:c r="K203" s="331" t="n">
        <x:f>IF(G203=0,0,J203/G203)</x:f>
        <x:v>0</x:v>
      </x:c>
      <x:c r="L203" s="343" t="n">
        <x:f>IF(D203="",0,J203-I203*'Assumptions'!$B$11)</x:f>
        <x:v>0</x:v>
      </x:c>
      <x:c r="M203" s="80"/>
      <x:c r="N203" s="81"/>
    </x:row>
    <x:row r="204">
      <x:c r="A204" s="325"/>
      <x:c r="B204" s="328"/>
      <x:c r="C204" s="75"/>
      <x:c r="D204" s="81"/>
      <x:c r="E204" s="93" t="n">
        <x:f>IFERROR(VLOOKUP(D204,'Assumptions'!$A$19:$C$23,3,FALSE),0)</x:f>
        <x:v>0</x:v>
      </x:c>
      <x:c r="F204" s="94"/>
      <x:c r="G204" s="93" t="n">
        <x:f>IF(D204="",0,E204+F204)</x:f>
        <x:v>0</x:v>
      </x:c>
      <x:c r="H204" s="98" t="n">
        <x:f>IFERROR(VLOOKUP(D204,'Assumptions'!$A$19:$C$23,2,FALSE),0)</x:f>
        <x:v>0</x:v>
      </x:c>
      <x:c r="I204" s="93" t="n">
        <x:f>IF(D204="",0,H204*'Assumptions'!$B$10)</x:f>
        <x:v>0</x:v>
      </x:c>
      <x:c r="J204" s="337" t="n">
        <x:f>IF(D204="",0,G204-I204)</x:f>
        <x:v>0</x:v>
      </x:c>
      <x:c r="K204" s="331" t="n">
        <x:f>IF(G204=0,0,J204/G204)</x:f>
        <x:v>0</x:v>
      </x:c>
      <x:c r="L204" s="343" t="n">
        <x:f>IF(D204="",0,J204-I204*'Assumptions'!$B$11)</x:f>
        <x:v>0</x:v>
      </x:c>
      <x:c r="M204" s="80"/>
      <x:c r="N204" s="81"/>
    </x:row>
    <x:row r="205">
      <x:c r="A205" s="325"/>
      <x:c r="B205" s="328"/>
      <x:c r="C205" s="75"/>
      <x:c r="D205" s="81"/>
      <x:c r="E205" s="93" t="n">
        <x:f>IFERROR(VLOOKUP(D205,'Assumptions'!$A$19:$C$23,3,FALSE),0)</x:f>
        <x:v>0</x:v>
      </x:c>
      <x:c r="F205" s="94"/>
      <x:c r="G205" s="93" t="n">
        <x:f>IF(D205="",0,E205+F205)</x:f>
        <x:v>0</x:v>
      </x:c>
      <x:c r="H205" s="98" t="n">
        <x:f>IFERROR(VLOOKUP(D205,'Assumptions'!$A$19:$C$23,2,FALSE),0)</x:f>
        <x:v>0</x:v>
      </x:c>
      <x:c r="I205" s="93" t="n">
        <x:f>IF(D205="",0,H205*'Assumptions'!$B$10)</x:f>
        <x:v>0</x:v>
      </x:c>
      <x:c r="J205" s="337" t="n">
        <x:f>IF(D205="",0,G205-I205)</x:f>
        <x:v>0</x:v>
      </x:c>
      <x:c r="K205" s="331" t="n">
        <x:f>IF(G205=0,0,J205/G205)</x:f>
        <x:v>0</x:v>
      </x:c>
      <x:c r="L205" s="343" t="n">
        <x:f>IF(D205="",0,J205-I205*'Assumptions'!$B$11)</x:f>
        <x:v>0</x:v>
      </x:c>
      <x:c r="M205" s="80"/>
      <x:c r="N205" s="81"/>
    </x:row>
    <x:row r="206">
      <x:c r="A206" s="325"/>
      <x:c r="B206" s="328"/>
      <x:c r="C206" s="75"/>
      <x:c r="D206" s="81"/>
      <x:c r="E206" s="93" t="n">
        <x:f>IFERROR(VLOOKUP(D206,'Assumptions'!$A$19:$C$23,3,FALSE),0)</x:f>
        <x:v>0</x:v>
      </x:c>
      <x:c r="F206" s="94"/>
      <x:c r="G206" s="93" t="n">
        <x:f>IF(D206="",0,E206+F206)</x:f>
        <x:v>0</x:v>
      </x:c>
      <x:c r="H206" s="98" t="n">
        <x:f>IFERROR(VLOOKUP(D206,'Assumptions'!$A$19:$C$23,2,FALSE),0)</x:f>
        <x:v>0</x:v>
      </x:c>
      <x:c r="I206" s="93" t="n">
        <x:f>IF(D206="",0,H206*'Assumptions'!$B$10)</x:f>
        <x:v>0</x:v>
      </x:c>
      <x:c r="J206" s="337" t="n">
        <x:f>IF(D206="",0,G206-I206)</x:f>
        <x:v>0</x:v>
      </x:c>
      <x:c r="K206" s="331" t="n">
        <x:f>IF(G206=0,0,J206/G206)</x:f>
        <x:v>0</x:v>
      </x:c>
      <x:c r="L206" s="343" t="n">
        <x:f>IF(D206="",0,J206-I206*'Assumptions'!$B$11)</x:f>
        <x:v>0</x:v>
      </x:c>
      <x:c r="M206" s="80"/>
      <x:c r="N206" s="81"/>
    </x:row>
    <x:row r="207">
      <x:c r="A207" s="325"/>
      <x:c r="B207" s="328"/>
      <x:c r="C207" s="75"/>
      <x:c r="D207" s="81"/>
      <x:c r="E207" s="93" t="n">
        <x:f>IFERROR(VLOOKUP(D207,'Assumptions'!$A$19:$C$23,3,FALSE),0)</x:f>
        <x:v>0</x:v>
      </x:c>
      <x:c r="F207" s="94"/>
      <x:c r="G207" s="93" t="n">
        <x:f>IF(D207="",0,E207+F207)</x:f>
        <x:v>0</x:v>
      </x:c>
      <x:c r="H207" s="98" t="n">
        <x:f>IFERROR(VLOOKUP(D207,'Assumptions'!$A$19:$C$23,2,FALSE),0)</x:f>
        <x:v>0</x:v>
      </x:c>
      <x:c r="I207" s="93" t="n">
        <x:f>IF(D207="",0,H207*'Assumptions'!$B$10)</x:f>
        <x:v>0</x:v>
      </x:c>
      <x:c r="J207" s="337" t="n">
        <x:f>IF(D207="",0,G207-I207)</x:f>
        <x:v>0</x:v>
      </x:c>
      <x:c r="K207" s="331" t="n">
        <x:f>IF(G207=0,0,J207/G207)</x:f>
        <x:v>0</x:v>
      </x:c>
      <x:c r="L207" s="343" t="n">
        <x:f>IF(D207="",0,J207-I207*'Assumptions'!$B$11)</x:f>
        <x:v>0</x:v>
      </x:c>
      <x:c r="M207" s="80"/>
      <x:c r="N207" s="81"/>
    </x:row>
    <x:row r="208">
      <x:c r="A208" s="325"/>
      <x:c r="B208" s="328"/>
      <x:c r="C208" s="75"/>
      <x:c r="D208" s="81"/>
      <x:c r="E208" s="93" t="n">
        <x:f>IFERROR(VLOOKUP(D208,'Assumptions'!$A$19:$C$23,3,FALSE),0)</x:f>
        <x:v>0</x:v>
      </x:c>
      <x:c r="F208" s="94"/>
      <x:c r="G208" s="93" t="n">
        <x:f>IF(D208="",0,E208+F208)</x:f>
        <x:v>0</x:v>
      </x:c>
      <x:c r="H208" s="98" t="n">
        <x:f>IFERROR(VLOOKUP(D208,'Assumptions'!$A$19:$C$23,2,FALSE),0)</x:f>
        <x:v>0</x:v>
      </x:c>
      <x:c r="I208" s="93" t="n">
        <x:f>IF(D208="",0,H208*'Assumptions'!$B$10)</x:f>
        <x:v>0</x:v>
      </x:c>
      <x:c r="J208" s="337" t="n">
        <x:f>IF(D208="",0,G208-I208)</x:f>
        <x:v>0</x:v>
      </x:c>
      <x:c r="K208" s="331" t="n">
        <x:f>IF(G208=0,0,J208/G208)</x:f>
        <x:v>0</x:v>
      </x:c>
      <x:c r="L208" s="343" t="n">
        <x:f>IF(D208="",0,J208-I208*'Assumptions'!$B$11)</x:f>
        <x:v>0</x:v>
      </x:c>
      <x:c r="M208" s="80"/>
      <x:c r="N208" s="81"/>
    </x:row>
    <x:row r="209">
      <x:c r="A209" s="325"/>
      <x:c r="B209" s="328"/>
      <x:c r="C209" s="75"/>
      <x:c r="D209" s="81"/>
      <x:c r="E209" s="93" t="n">
        <x:f>IFERROR(VLOOKUP(D209,'Assumptions'!$A$19:$C$23,3,FALSE),0)</x:f>
        <x:v>0</x:v>
      </x:c>
      <x:c r="F209" s="94"/>
      <x:c r="G209" s="93" t="n">
        <x:f>IF(D209="",0,E209+F209)</x:f>
        <x:v>0</x:v>
      </x:c>
      <x:c r="H209" s="98" t="n">
        <x:f>IFERROR(VLOOKUP(D209,'Assumptions'!$A$19:$C$23,2,FALSE),0)</x:f>
        <x:v>0</x:v>
      </x:c>
      <x:c r="I209" s="93" t="n">
        <x:f>IF(D209="",0,H209*'Assumptions'!$B$10)</x:f>
        <x:v>0</x:v>
      </x:c>
      <x:c r="J209" s="337" t="n">
        <x:f>IF(D209="",0,G209-I209)</x:f>
        <x:v>0</x:v>
      </x:c>
      <x:c r="K209" s="331" t="n">
        <x:f>IF(G209=0,0,J209/G209)</x:f>
        <x:v>0</x:v>
      </x:c>
      <x:c r="L209" s="343" t="n">
        <x:f>IF(D209="",0,J209-I209*'Assumptions'!$B$11)</x:f>
        <x:v>0</x:v>
      </x:c>
      <x:c r="M209" s="80"/>
      <x:c r="N209" s="81"/>
    </x:row>
    <x:row r="210">
      <x:c r="A210" s="325"/>
      <x:c r="B210" s="328"/>
      <x:c r="C210" s="75"/>
      <x:c r="D210" s="81"/>
      <x:c r="E210" s="93" t="n">
        <x:f>IFERROR(VLOOKUP(D210,'Assumptions'!$A$19:$C$23,3,FALSE),0)</x:f>
        <x:v>0</x:v>
      </x:c>
      <x:c r="F210" s="94"/>
      <x:c r="G210" s="93" t="n">
        <x:f>IF(D210="",0,E210+F210)</x:f>
        <x:v>0</x:v>
      </x:c>
      <x:c r="H210" s="98" t="n">
        <x:f>IFERROR(VLOOKUP(D210,'Assumptions'!$A$19:$C$23,2,FALSE),0)</x:f>
        <x:v>0</x:v>
      </x:c>
      <x:c r="I210" s="93" t="n">
        <x:f>IF(D210="",0,H210*'Assumptions'!$B$10)</x:f>
        <x:v>0</x:v>
      </x:c>
      <x:c r="J210" s="337" t="n">
        <x:f>IF(D210="",0,G210-I210)</x:f>
        <x:v>0</x:v>
      </x:c>
      <x:c r="K210" s="331" t="n">
        <x:f>IF(G210=0,0,J210/G210)</x:f>
        <x:v>0</x:v>
      </x:c>
      <x:c r="L210" s="343" t="n">
        <x:f>IF(D210="",0,J210-I210*'Assumptions'!$B$11)</x:f>
        <x:v>0</x:v>
      </x:c>
      <x:c r="M210" s="80"/>
      <x:c r="N210" s="81"/>
    </x:row>
    <x:row r="211">
      <x:c r="A211" s="325"/>
      <x:c r="B211" s="328"/>
      <x:c r="C211" s="75"/>
      <x:c r="D211" s="81"/>
      <x:c r="E211" s="93" t="n">
        <x:f>IFERROR(VLOOKUP(D211,'Assumptions'!$A$19:$C$23,3,FALSE),0)</x:f>
        <x:v>0</x:v>
      </x:c>
      <x:c r="F211" s="94"/>
      <x:c r="G211" s="93" t="n">
        <x:f>IF(D211="",0,E211+F211)</x:f>
        <x:v>0</x:v>
      </x:c>
      <x:c r="H211" s="98" t="n">
        <x:f>IFERROR(VLOOKUP(D211,'Assumptions'!$A$19:$C$23,2,FALSE),0)</x:f>
        <x:v>0</x:v>
      </x:c>
      <x:c r="I211" s="93" t="n">
        <x:f>IF(D211="",0,H211*'Assumptions'!$B$10)</x:f>
        <x:v>0</x:v>
      </x:c>
      <x:c r="J211" s="337" t="n">
        <x:f>IF(D211="",0,G211-I211)</x:f>
        <x:v>0</x:v>
      </x:c>
      <x:c r="K211" s="331" t="n">
        <x:f>IF(G211=0,0,J211/G211)</x:f>
        <x:v>0</x:v>
      </x:c>
      <x:c r="L211" s="343" t="n">
        <x:f>IF(D211="",0,J211-I211*'Assumptions'!$B$11)</x:f>
        <x:v>0</x:v>
      </x:c>
      <x:c r="M211" s="80"/>
      <x:c r="N211" s="81"/>
    </x:row>
    <x:row r="212">
      <x:c r="A212" s="325"/>
      <x:c r="B212" s="328"/>
      <x:c r="C212" s="75"/>
      <x:c r="D212" s="81"/>
      <x:c r="E212" s="93" t="n">
        <x:f>IFERROR(VLOOKUP(D212,'Assumptions'!$A$19:$C$23,3,FALSE),0)</x:f>
        <x:v>0</x:v>
      </x:c>
      <x:c r="F212" s="94"/>
      <x:c r="G212" s="93" t="n">
        <x:f>IF(D212="",0,E212+F212)</x:f>
        <x:v>0</x:v>
      </x:c>
      <x:c r="H212" s="98" t="n">
        <x:f>IFERROR(VLOOKUP(D212,'Assumptions'!$A$19:$C$23,2,FALSE),0)</x:f>
        <x:v>0</x:v>
      </x:c>
      <x:c r="I212" s="93" t="n">
        <x:f>IF(D212="",0,H212*'Assumptions'!$B$10)</x:f>
        <x:v>0</x:v>
      </x:c>
      <x:c r="J212" s="337" t="n">
        <x:f>IF(D212="",0,G212-I212)</x:f>
        <x:v>0</x:v>
      </x:c>
      <x:c r="K212" s="331" t="n">
        <x:f>IF(G212=0,0,J212/G212)</x:f>
        <x:v>0</x:v>
      </x:c>
      <x:c r="L212" s="343" t="n">
        <x:f>IF(D212="",0,J212-I212*'Assumptions'!$B$11)</x:f>
        <x:v>0</x:v>
      </x:c>
      <x:c r="M212" s="80"/>
      <x:c r="N212" s="81"/>
    </x:row>
    <x:row r="213">
      <x:c r="A213" s="325"/>
      <x:c r="B213" s="328"/>
      <x:c r="C213" s="75"/>
      <x:c r="D213" s="81"/>
      <x:c r="E213" s="93" t="n">
        <x:f>IFERROR(VLOOKUP(D213,'Assumptions'!$A$19:$C$23,3,FALSE),0)</x:f>
        <x:v>0</x:v>
      </x:c>
      <x:c r="F213" s="94"/>
      <x:c r="G213" s="93" t="n">
        <x:f>IF(D213="",0,E213+F213)</x:f>
        <x:v>0</x:v>
      </x:c>
      <x:c r="H213" s="98" t="n">
        <x:f>IFERROR(VLOOKUP(D213,'Assumptions'!$A$19:$C$23,2,FALSE),0)</x:f>
        <x:v>0</x:v>
      </x:c>
      <x:c r="I213" s="93" t="n">
        <x:f>IF(D213="",0,H213*'Assumptions'!$B$10)</x:f>
        <x:v>0</x:v>
      </x:c>
      <x:c r="J213" s="337" t="n">
        <x:f>IF(D213="",0,G213-I213)</x:f>
        <x:v>0</x:v>
      </x:c>
      <x:c r="K213" s="331" t="n">
        <x:f>IF(G213=0,0,J213/G213)</x:f>
        <x:v>0</x:v>
      </x:c>
      <x:c r="L213" s="343" t="n">
        <x:f>IF(D213="",0,J213-I213*'Assumptions'!$B$11)</x:f>
        <x:v>0</x:v>
      </x:c>
      <x:c r="M213" s="80"/>
      <x:c r="N213" s="81"/>
    </x:row>
    <x:row r="214">
      <x:c r="A214" s="325"/>
      <x:c r="B214" s="328"/>
      <x:c r="C214" s="75"/>
      <x:c r="D214" s="81"/>
      <x:c r="E214" s="93" t="n">
        <x:f>IFERROR(VLOOKUP(D214,'Assumptions'!$A$19:$C$23,3,FALSE),0)</x:f>
        <x:v>0</x:v>
      </x:c>
      <x:c r="F214" s="94"/>
      <x:c r="G214" s="93" t="n">
        <x:f>IF(D214="",0,E214+F214)</x:f>
        <x:v>0</x:v>
      </x:c>
      <x:c r="H214" s="98" t="n">
        <x:f>IFERROR(VLOOKUP(D214,'Assumptions'!$A$19:$C$23,2,FALSE),0)</x:f>
        <x:v>0</x:v>
      </x:c>
      <x:c r="I214" s="93" t="n">
        <x:f>IF(D214="",0,H214*'Assumptions'!$B$10)</x:f>
        <x:v>0</x:v>
      </x:c>
      <x:c r="J214" s="337" t="n">
        <x:f>IF(D214="",0,G214-I214)</x:f>
        <x:v>0</x:v>
      </x:c>
      <x:c r="K214" s="331" t="n">
        <x:f>IF(G214=0,0,J214/G214)</x:f>
        <x:v>0</x:v>
      </x:c>
      <x:c r="L214" s="343" t="n">
        <x:f>IF(D214="",0,J214-I214*'Assumptions'!$B$11)</x:f>
        <x:v>0</x:v>
      </x:c>
      <x:c r="M214" s="80"/>
      <x:c r="N214" s="81"/>
    </x:row>
    <x:row r="215">
      <x:c r="A215" s="325"/>
      <x:c r="B215" s="328"/>
      <x:c r="C215" s="75"/>
      <x:c r="D215" s="81"/>
      <x:c r="E215" s="93" t="n">
        <x:f>IFERROR(VLOOKUP(D215,'Assumptions'!$A$19:$C$23,3,FALSE),0)</x:f>
        <x:v>0</x:v>
      </x:c>
      <x:c r="F215" s="94"/>
      <x:c r="G215" s="93" t="n">
        <x:f>IF(D215="",0,E215+F215)</x:f>
        <x:v>0</x:v>
      </x:c>
      <x:c r="H215" s="98" t="n">
        <x:f>IFERROR(VLOOKUP(D215,'Assumptions'!$A$19:$C$23,2,FALSE),0)</x:f>
        <x:v>0</x:v>
      </x:c>
      <x:c r="I215" s="93" t="n">
        <x:f>IF(D215="",0,H215*'Assumptions'!$B$10)</x:f>
        <x:v>0</x:v>
      </x:c>
      <x:c r="J215" s="337" t="n">
        <x:f>IF(D215="",0,G215-I215)</x:f>
        <x:v>0</x:v>
      </x:c>
      <x:c r="K215" s="331" t="n">
        <x:f>IF(G215=0,0,J215/G215)</x:f>
        <x:v>0</x:v>
      </x:c>
      <x:c r="L215" s="343" t="n">
        <x:f>IF(D215="",0,J215-I215*'Assumptions'!$B$11)</x:f>
        <x:v>0</x:v>
      </x:c>
      <x:c r="M215" s="80"/>
      <x:c r="N215" s="81"/>
    </x:row>
    <x:row r="216">
      <x:c r="A216" s="325"/>
      <x:c r="B216" s="328"/>
      <x:c r="C216" s="75"/>
      <x:c r="D216" s="81"/>
      <x:c r="E216" s="93" t="n">
        <x:f>IFERROR(VLOOKUP(D216,'Assumptions'!$A$19:$C$23,3,FALSE),0)</x:f>
        <x:v>0</x:v>
      </x:c>
      <x:c r="F216" s="94"/>
      <x:c r="G216" s="93" t="n">
        <x:f>IF(D216="",0,E216+F216)</x:f>
        <x:v>0</x:v>
      </x:c>
      <x:c r="H216" s="98" t="n">
        <x:f>IFERROR(VLOOKUP(D216,'Assumptions'!$A$19:$C$23,2,FALSE),0)</x:f>
        <x:v>0</x:v>
      </x:c>
      <x:c r="I216" s="93" t="n">
        <x:f>IF(D216="",0,H216*'Assumptions'!$B$10)</x:f>
        <x:v>0</x:v>
      </x:c>
      <x:c r="J216" s="337" t="n">
        <x:f>IF(D216="",0,G216-I216)</x:f>
        <x:v>0</x:v>
      </x:c>
      <x:c r="K216" s="331" t="n">
        <x:f>IF(G216=0,0,J216/G216)</x:f>
        <x:v>0</x:v>
      </x:c>
      <x:c r="L216" s="343" t="n">
        <x:f>IF(D216="",0,J216-I216*'Assumptions'!$B$11)</x:f>
        <x:v>0</x:v>
      </x:c>
      <x:c r="M216" s="80"/>
      <x:c r="N216" s="81"/>
    </x:row>
    <x:row r="217">
      <x:c r="A217" s="325"/>
      <x:c r="B217" s="328"/>
      <x:c r="C217" s="75"/>
      <x:c r="D217" s="81"/>
      <x:c r="E217" s="93" t="n">
        <x:f>IFERROR(VLOOKUP(D217,'Assumptions'!$A$19:$C$23,3,FALSE),0)</x:f>
        <x:v>0</x:v>
      </x:c>
      <x:c r="F217" s="94"/>
      <x:c r="G217" s="93" t="n">
        <x:f>IF(D217="",0,E217+F217)</x:f>
        <x:v>0</x:v>
      </x:c>
      <x:c r="H217" s="98" t="n">
        <x:f>IFERROR(VLOOKUP(D217,'Assumptions'!$A$19:$C$23,2,FALSE),0)</x:f>
        <x:v>0</x:v>
      </x:c>
      <x:c r="I217" s="93" t="n">
        <x:f>IF(D217="",0,H217*'Assumptions'!$B$10)</x:f>
        <x:v>0</x:v>
      </x:c>
      <x:c r="J217" s="337" t="n">
        <x:f>IF(D217="",0,G217-I217)</x:f>
        <x:v>0</x:v>
      </x:c>
      <x:c r="K217" s="331" t="n">
        <x:f>IF(G217=0,0,J217/G217)</x:f>
        <x:v>0</x:v>
      </x:c>
      <x:c r="L217" s="343" t="n">
        <x:f>IF(D217="",0,J217-I217*'Assumptions'!$B$11)</x:f>
        <x:v>0</x:v>
      </x:c>
      <x:c r="M217" s="80"/>
      <x:c r="N217" s="81"/>
    </x:row>
    <x:row r="218">
      <x:c r="A218" s="325"/>
      <x:c r="B218" s="328"/>
      <x:c r="C218" s="75"/>
      <x:c r="D218" s="81"/>
      <x:c r="E218" s="93" t="n">
        <x:f>IFERROR(VLOOKUP(D218,'Assumptions'!$A$19:$C$23,3,FALSE),0)</x:f>
        <x:v>0</x:v>
      </x:c>
      <x:c r="F218" s="94"/>
      <x:c r="G218" s="93" t="n">
        <x:f>IF(D218="",0,E218+F218)</x:f>
        <x:v>0</x:v>
      </x:c>
      <x:c r="H218" s="98" t="n">
        <x:f>IFERROR(VLOOKUP(D218,'Assumptions'!$A$19:$C$23,2,FALSE),0)</x:f>
        <x:v>0</x:v>
      </x:c>
      <x:c r="I218" s="93" t="n">
        <x:f>IF(D218="",0,H218*'Assumptions'!$B$10)</x:f>
        <x:v>0</x:v>
      </x:c>
      <x:c r="J218" s="337" t="n">
        <x:f>IF(D218="",0,G218-I218)</x:f>
        <x:v>0</x:v>
      </x:c>
      <x:c r="K218" s="331" t="n">
        <x:f>IF(G218=0,0,J218/G218)</x:f>
        <x:v>0</x:v>
      </x:c>
      <x:c r="L218" s="343" t="n">
        <x:f>IF(D218="",0,J218-I218*'Assumptions'!$B$11)</x:f>
        <x:v>0</x:v>
      </x:c>
      <x:c r="M218" s="80"/>
      <x:c r="N218" s="81"/>
    </x:row>
    <x:row r="219">
      <x:c r="A219" s="325"/>
      <x:c r="B219" s="328"/>
      <x:c r="C219" s="75"/>
      <x:c r="D219" s="81"/>
      <x:c r="E219" s="93" t="n">
        <x:f>IFERROR(VLOOKUP(D219,'Assumptions'!$A$19:$C$23,3,FALSE),0)</x:f>
        <x:v>0</x:v>
      </x:c>
      <x:c r="F219" s="94"/>
      <x:c r="G219" s="93" t="n">
        <x:f>IF(D219="",0,E219+F219)</x:f>
        <x:v>0</x:v>
      </x:c>
      <x:c r="H219" s="98" t="n">
        <x:f>IFERROR(VLOOKUP(D219,'Assumptions'!$A$19:$C$23,2,FALSE),0)</x:f>
        <x:v>0</x:v>
      </x:c>
      <x:c r="I219" s="93" t="n">
        <x:f>IF(D219="",0,H219*'Assumptions'!$B$10)</x:f>
        <x:v>0</x:v>
      </x:c>
      <x:c r="J219" s="337" t="n">
        <x:f>IF(D219="",0,G219-I219)</x:f>
        <x:v>0</x:v>
      </x:c>
      <x:c r="K219" s="331" t="n">
        <x:f>IF(G219=0,0,J219/G219)</x:f>
        <x:v>0</x:v>
      </x:c>
      <x:c r="L219" s="343" t="n">
        <x:f>IF(D219="",0,J219-I219*'Assumptions'!$B$11)</x:f>
        <x:v>0</x:v>
      </x:c>
      <x:c r="M219" s="80"/>
      <x:c r="N219" s="81"/>
    </x:row>
    <x:row r="220">
      <x:c r="A220" s="325"/>
      <x:c r="B220" s="328"/>
      <x:c r="C220" s="75"/>
      <x:c r="D220" s="81"/>
      <x:c r="E220" s="93" t="n">
        <x:f>IFERROR(VLOOKUP(D220,'Assumptions'!$A$19:$C$23,3,FALSE),0)</x:f>
        <x:v>0</x:v>
      </x:c>
      <x:c r="F220" s="94"/>
      <x:c r="G220" s="93" t="n">
        <x:f>IF(D220="",0,E220+F220)</x:f>
        <x:v>0</x:v>
      </x:c>
      <x:c r="H220" s="98" t="n">
        <x:f>IFERROR(VLOOKUP(D220,'Assumptions'!$A$19:$C$23,2,FALSE),0)</x:f>
        <x:v>0</x:v>
      </x:c>
      <x:c r="I220" s="93" t="n">
        <x:f>IF(D220="",0,H220*'Assumptions'!$B$10)</x:f>
        <x:v>0</x:v>
      </x:c>
      <x:c r="J220" s="337" t="n">
        <x:f>IF(D220="",0,G220-I220)</x:f>
        <x:v>0</x:v>
      </x:c>
      <x:c r="K220" s="331" t="n">
        <x:f>IF(G220=0,0,J220/G220)</x:f>
        <x:v>0</x:v>
      </x:c>
      <x:c r="L220" s="343" t="n">
        <x:f>IF(D220="",0,J220-I220*'Assumptions'!$B$11)</x:f>
        <x:v>0</x:v>
      </x:c>
      <x:c r="M220" s="80"/>
      <x:c r="N220" s="81"/>
    </x:row>
    <x:row r="221">
      <x:c r="A221" s="325"/>
      <x:c r="B221" s="328"/>
      <x:c r="C221" s="75"/>
      <x:c r="D221" s="81"/>
      <x:c r="E221" s="93" t="n">
        <x:f>IFERROR(VLOOKUP(D221,'Assumptions'!$A$19:$C$23,3,FALSE),0)</x:f>
        <x:v>0</x:v>
      </x:c>
      <x:c r="F221" s="94"/>
      <x:c r="G221" s="93" t="n">
        <x:f>IF(D221="",0,E221+F221)</x:f>
        <x:v>0</x:v>
      </x:c>
      <x:c r="H221" s="98" t="n">
        <x:f>IFERROR(VLOOKUP(D221,'Assumptions'!$A$19:$C$23,2,FALSE),0)</x:f>
        <x:v>0</x:v>
      </x:c>
      <x:c r="I221" s="93" t="n">
        <x:f>IF(D221="",0,H221*'Assumptions'!$B$10)</x:f>
        <x:v>0</x:v>
      </x:c>
      <x:c r="J221" s="337" t="n">
        <x:f>IF(D221="",0,G221-I221)</x:f>
        <x:v>0</x:v>
      </x:c>
      <x:c r="K221" s="331" t="n">
        <x:f>IF(G221=0,0,J221/G221)</x:f>
        <x:v>0</x:v>
      </x:c>
      <x:c r="L221" s="343" t="n">
        <x:f>IF(D221="",0,J221-I221*'Assumptions'!$B$11)</x:f>
        <x:v>0</x:v>
      </x:c>
      <x:c r="M221" s="80"/>
      <x:c r="N221" s="81"/>
    </x:row>
    <x:row r="222">
      <x:c r="A222" s="325"/>
      <x:c r="B222" s="328"/>
      <x:c r="C222" s="75"/>
      <x:c r="D222" s="81"/>
      <x:c r="E222" s="93" t="n">
        <x:f>IFERROR(VLOOKUP(D222,'Assumptions'!$A$19:$C$23,3,FALSE),0)</x:f>
        <x:v>0</x:v>
      </x:c>
      <x:c r="F222" s="94"/>
      <x:c r="G222" s="93" t="n">
        <x:f>IF(D222="",0,E222+F222)</x:f>
        <x:v>0</x:v>
      </x:c>
      <x:c r="H222" s="98" t="n">
        <x:f>IFERROR(VLOOKUP(D222,'Assumptions'!$A$19:$C$23,2,FALSE),0)</x:f>
        <x:v>0</x:v>
      </x:c>
      <x:c r="I222" s="93" t="n">
        <x:f>IF(D222="",0,H222*'Assumptions'!$B$10)</x:f>
        <x:v>0</x:v>
      </x:c>
      <x:c r="J222" s="337" t="n">
        <x:f>IF(D222="",0,G222-I222)</x:f>
        <x:v>0</x:v>
      </x:c>
      <x:c r="K222" s="331" t="n">
        <x:f>IF(G222=0,0,J222/G222)</x:f>
        <x:v>0</x:v>
      </x:c>
      <x:c r="L222" s="343" t="n">
        <x:f>IF(D222="",0,J222-I222*'Assumptions'!$B$11)</x:f>
        <x:v>0</x:v>
      </x:c>
      <x:c r="M222" s="80"/>
      <x:c r="N222" s="81"/>
    </x:row>
    <x:row r="223">
      <x:c r="A223" s="325"/>
      <x:c r="B223" s="328"/>
      <x:c r="C223" s="75"/>
      <x:c r="D223" s="81"/>
      <x:c r="E223" s="93" t="n">
        <x:f>IFERROR(VLOOKUP(D223,'Assumptions'!$A$19:$C$23,3,FALSE),0)</x:f>
        <x:v>0</x:v>
      </x:c>
      <x:c r="F223" s="94"/>
      <x:c r="G223" s="93" t="n">
        <x:f>IF(D223="",0,E223+F223)</x:f>
        <x:v>0</x:v>
      </x:c>
      <x:c r="H223" s="98" t="n">
        <x:f>IFERROR(VLOOKUP(D223,'Assumptions'!$A$19:$C$23,2,FALSE),0)</x:f>
        <x:v>0</x:v>
      </x:c>
      <x:c r="I223" s="93" t="n">
        <x:f>IF(D223="",0,H223*'Assumptions'!$B$10)</x:f>
        <x:v>0</x:v>
      </x:c>
      <x:c r="J223" s="337" t="n">
        <x:f>IF(D223="",0,G223-I223)</x:f>
        <x:v>0</x:v>
      </x:c>
      <x:c r="K223" s="331" t="n">
        <x:f>IF(G223=0,0,J223/G223)</x:f>
        <x:v>0</x:v>
      </x:c>
      <x:c r="L223" s="343" t="n">
        <x:f>IF(D223="",0,J223-I223*'Assumptions'!$B$11)</x:f>
        <x:v>0</x:v>
      </x:c>
      <x:c r="M223" s="80"/>
      <x:c r="N223" s="81"/>
    </x:row>
    <x:row r="224">
      <x:c r="A224" s="325"/>
      <x:c r="B224" s="328"/>
      <x:c r="C224" s="75"/>
      <x:c r="D224" s="81"/>
      <x:c r="E224" s="93" t="n">
        <x:f>IFERROR(VLOOKUP(D224,'Assumptions'!$A$19:$C$23,3,FALSE),0)</x:f>
        <x:v>0</x:v>
      </x:c>
      <x:c r="F224" s="94"/>
      <x:c r="G224" s="93" t="n">
        <x:f>IF(D224="",0,E224+F224)</x:f>
        <x:v>0</x:v>
      </x:c>
      <x:c r="H224" s="98" t="n">
        <x:f>IFERROR(VLOOKUP(D224,'Assumptions'!$A$19:$C$23,2,FALSE),0)</x:f>
        <x:v>0</x:v>
      </x:c>
      <x:c r="I224" s="93" t="n">
        <x:f>IF(D224="",0,H224*'Assumptions'!$B$10)</x:f>
        <x:v>0</x:v>
      </x:c>
      <x:c r="J224" s="337" t="n">
        <x:f>IF(D224="",0,G224-I224)</x:f>
        <x:v>0</x:v>
      </x:c>
      <x:c r="K224" s="331" t="n">
        <x:f>IF(G224=0,0,J224/G224)</x:f>
        <x:v>0</x:v>
      </x:c>
      <x:c r="L224" s="343" t="n">
        <x:f>IF(D224="",0,J224-I224*'Assumptions'!$B$11)</x:f>
        <x:v>0</x:v>
      </x:c>
      <x:c r="M224" s="80"/>
      <x:c r="N224" s="81"/>
    </x:row>
    <x:row r="225">
      <x:c r="A225" s="325"/>
      <x:c r="B225" s="328"/>
      <x:c r="C225" s="75"/>
      <x:c r="D225" s="81"/>
      <x:c r="E225" s="93" t="n">
        <x:f>IFERROR(VLOOKUP(D225,'Assumptions'!$A$19:$C$23,3,FALSE),0)</x:f>
        <x:v>0</x:v>
      </x:c>
      <x:c r="F225" s="94"/>
      <x:c r="G225" s="93" t="n">
        <x:f>IF(D225="",0,E225+F225)</x:f>
        <x:v>0</x:v>
      </x:c>
      <x:c r="H225" s="98" t="n">
        <x:f>IFERROR(VLOOKUP(D225,'Assumptions'!$A$19:$C$23,2,FALSE),0)</x:f>
        <x:v>0</x:v>
      </x:c>
      <x:c r="I225" s="93" t="n">
        <x:f>IF(D225="",0,H225*'Assumptions'!$B$10)</x:f>
        <x:v>0</x:v>
      </x:c>
      <x:c r="J225" s="337" t="n">
        <x:f>IF(D225="",0,G225-I225)</x:f>
        <x:v>0</x:v>
      </x:c>
      <x:c r="K225" s="331" t="n">
        <x:f>IF(G225=0,0,J225/G225)</x:f>
        <x:v>0</x:v>
      </x:c>
      <x:c r="L225" s="343" t="n">
        <x:f>IF(D225="",0,J225-I225*'Assumptions'!$B$11)</x:f>
        <x:v>0</x:v>
      </x:c>
      <x:c r="M225" s="80"/>
      <x:c r="N225" s="81"/>
    </x:row>
    <x:row r="226">
      <x:c r="A226" s="325"/>
      <x:c r="B226" s="328"/>
      <x:c r="C226" s="75"/>
      <x:c r="D226" s="81"/>
      <x:c r="E226" s="93" t="n">
        <x:f>IFERROR(VLOOKUP(D226,'Assumptions'!$A$19:$C$23,3,FALSE),0)</x:f>
        <x:v>0</x:v>
      </x:c>
      <x:c r="F226" s="94"/>
      <x:c r="G226" s="93" t="n">
        <x:f>IF(D226="",0,E226+F226)</x:f>
        <x:v>0</x:v>
      </x:c>
      <x:c r="H226" s="98" t="n">
        <x:f>IFERROR(VLOOKUP(D226,'Assumptions'!$A$19:$C$23,2,FALSE),0)</x:f>
        <x:v>0</x:v>
      </x:c>
      <x:c r="I226" s="93" t="n">
        <x:f>IF(D226="",0,H226*'Assumptions'!$B$10)</x:f>
        <x:v>0</x:v>
      </x:c>
      <x:c r="J226" s="337" t="n">
        <x:f>IF(D226="",0,G226-I226)</x:f>
        <x:v>0</x:v>
      </x:c>
      <x:c r="K226" s="331" t="n">
        <x:f>IF(G226=0,0,J226/G226)</x:f>
        <x:v>0</x:v>
      </x:c>
      <x:c r="L226" s="343" t="n">
        <x:f>IF(D226="",0,J226-I226*'Assumptions'!$B$11)</x:f>
        <x:v>0</x:v>
      </x:c>
      <x:c r="M226" s="80"/>
      <x:c r="N226" s="81"/>
    </x:row>
    <x:row r="227">
      <x:c r="A227" s="325"/>
      <x:c r="B227" s="328"/>
      <x:c r="C227" s="75"/>
      <x:c r="D227" s="81"/>
      <x:c r="E227" s="93" t="n">
        <x:f>IFERROR(VLOOKUP(D227,'Assumptions'!$A$19:$C$23,3,FALSE),0)</x:f>
        <x:v>0</x:v>
      </x:c>
      <x:c r="F227" s="94"/>
      <x:c r="G227" s="93" t="n">
        <x:f>IF(D227="",0,E227+F227)</x:f>
        <x:v>0</x:v>
      </x:c>
      <x:c r="H227" s="98" t="n">
        <x:f>IFERROR(VLOOKUP(D227,'Assumptions'!$A$19:$C$23,2,FALSE),0)</x:f>
        <x:v>0</x:v>
      </x:c>
      <x:c r="I227" s="93" t="n">
        <x:f>IF(D227="",0,H227*'Assumptions'!$B$10)</x:f>
        <x:v>0</x:v>
      </x:c>
      <x:c r="J227" s="337" t="n">
        <x:f>IF(D227="",0,G227-I227)</x:f>
        <x:v>0</x:v>
      </x:c>
      <x:c r="K227" s="331" t="n">
        <x:f>IF(G227=0,0,J227/G227)</x:f>
        <x:v>0</x:v>
      </x:c>
      <x:c r="L227" s="343" t="n">
        <x:f>IF(D227="",0,J227-I227*'Assumptions'!$B$11)</x:f>
        <x:v>0</x:v>
      </x:c>
      <x:c r="M227" s="80"/>
      <x:c r="N227" s="81"/>
    </x:row>
    <x:row r="228">
      <x:c r="A228" s="325"/>
      <x:c r="B228" s="328"/>
      <x:c r="C228" s="75"/>
      <x:c r="D228" s="81"/>
      <x:c r="E228" s="93" t="n">
        <x:f>IFERROR(VLOOKUP(D228,'Assumptions'!$A$19:$C$23,3,FALSE),0)</x:f>
        <x:v>0</x:v>
      </x:c>
      <x:c r="F228" s="94"/>
      <x:c r="G228" s="93" t="n">
        <x:f>IF(D228="",0,E228+F228)</x:f>
        <x:v>0</x:v>
      </x:c>
      <x:c r="H228" s="98" t="n">
        <x:f>IFERROR(VLOOKUP(D228,'Assumptions'!$A$19:$C$23,2,FALSE),0)</x:f>
        <x:v>0</x:v>
      </x:c>
      <x:c r="I228" s="93" t="n">
        <x:f>IF(D228="",0,H228*'Assumptions'!$B$10)</x:f>
        <x:v>0</x:v>
      </x:c>
      <x:c r="J228" s="337" t="n">
        <x:f>IF(D228="",0,G228-I228)</x:f>
        <x:v>0</x:v>
      </x:c>
      <x:c r="K228" s="331" t="n">
        <x:f>IF(G228=0,0,J228/G228)</x:f>
        <x:v>0</x:v>
      </x:c>
      <x:c r="L228" s="343" t="n">
        <x:f>IF(D228="",0,J228-I228*'Assumptions'!$B$11)</x:f>
        <x:v>0</x:v>
      </x:c>
      <x:c r="M228" s="80"/>
      <x:c r="N228" s="81"/>
    </x:row>
    <x:row r="229">
      <x:c r="A229" s="325"/>
      <x:c r="B229" s="328"/>
      <x:c r="C229" s="75"/>
      <x:c r="D229" s="81"/>
      <x:c r="E229" s="93" t="n">
        <x:f>IFERROR(VLOOKUP(D229,'Assumptions'!$A$19:$C$23,3,FALSE),0)</x:f>
        <x:v>0</x:v>
      </x:c>
      <x:c r="F229" s="94"/>
      <x:c r="G229" s="93" t="n">
        <x:f>IF(D229="",0,E229+F229)</x:f>
        <x:v>0</x:v>
      </x:c>
      <x:c r="H229" s="98" t="n">
        <x:f>IFERROR(VLOOKUP(D229,'Assumptions'!$A$19:$C$23,2,FALSE),0)</x:f>
        <x:v>0</x:v>
      </x:c>
      <x:c r="I229" s="93" t="n">
        <x:f>IF(D229="",0,H229*'Assumptions'!$B$10)</x:f>
        <x:v>0</x:v>
      </x:c>
      <x:c r="J229" s="337" t="n">
        <x:f>IF(D229="",0,G229-I229)</x:f>
        <x:v>0</x:v>
      </x:c>
      <x:c r="K229" s="331" t="n">
        <x:f>IF(G229=0,0,J229/G229)</x:f>
        <x:v>0</x:v>
      </x:c>
      <x:c r="L229" s="343" t="n">
        <x:f>IF(D229="",0,J229-I229*'Assumptions'!$B$11)</x:f>
        <x:v>0</x:v>
      </x:c>
      <x:c r="M229" s="80"/>
      <x:c r="N229" s="81"/>
    </x:row>
    <x:row r="230">
      <x:c r="A230" s="325"/>
      <x:c r="B230" s="328"/>
      <x:c r="C230" s="75"/>
      <x:c r="D230" s="81"/>
      <x:c r="E230" s="93" t="n">
        <x:f>IFERROR(VLOOKUP(D230,'Assumptions'!$A$19:$C$23,3,FALSE),0)</x:f>
        <x:v>0</x:v>
      </x:c>
      <x:c r="F230" s="94"/>
      <x:c r="G230" s="93" t="n">
        <x:f>IF(D230="",0,E230+F230)</x:f>
        <x:v>0</x:v>
      </x:c>
      <x:c r="H230" s="98" t="n">
        <x:f>IFERROR(VLOOKUP(D230,'Assumptions'!$A$19:$C$23,2,FALSE),0)</x:f>
        <x:v>0</x:v>
      </x:c>
      <x:c r="I230" s="93" t="n">
        <x:f>IF(D230="",0,H230*'Assumptions'!$B$10)</x:f>
        <x:v>0</x:v>
      </x:c>
      <x:c r="J230" s="337" t="n">
        <x:f>IF(D230="",0,G230-I230)</x:f>
        <x:v>0</x:v>
      </x:c>
      <x:c r="K230" s="331" t="n">
        <x:f>IF(G230=0,0,J230/G230)</x:f>
        <x:v>0</x:v>
      </x:c>
      <x:c r="L230" s="343" t="n">
        <x:f>IF(D230="",0,J230-I230*'Assumptions'!$B$11)</x:f>
        <x:v>0</x:v>
      </x:c>
      <x:c r="M230" s="80"/>
      <x:c r="N230" s="81"/>
    </x:row>
    <x:row r="231">
      <x:c r="A231" s="325"/>
      <x:c r="B231" s="328"/>
      <x:c r="C231" s="75"/>
      <x:c r="D231" s="81"/>
      <x:c r="E231" s="93" t="n">
        <x:f>IFERROR(VLOOKUP(D231,'Assumptions'!$A$19:$C$23,3,FALSE),0)</x:f>
        <x:v>0</x:v>
      </x:c>
      <x:c r="F231" s="94"/>
      <x:c r="G231" s="93" t="n">
        <x:f>IF(D231="",0,E231+F231)</x:f>
        <x:v>0</x:v>
      </x:c>
      <x:c r="H231" s="98" t="n">
        <x:f>IFERROR(VLOOKUP(D231,'Assumptions'!$A$19:$C$23,2,FALSE),0)</x:f>
        <x:v>0</x:v>
      </x:c>
      <x:c r="I231" s="93" t="n">
        <x:f>IF(D231="",0,H231*'Assumptions'!$B$10)</x:f>
        <x:v>0</x:v>
      </x:c>
      <x:c r="J231" s="337" t="n">
        <x:f>IF(D231="",0,G231-I231)</x:f>
        <x:v>0</x:v>
      </x:c>
      <x:c r="K231" s="331" t="n">
        <x:f>IF(G231=0,0,J231/G231)</x:f>
        <x:v>0</x:v>
      </x:c>
      <x:c r="L231" s="343" t="n">
        <x:f>IF(D231="",0,J231-I231*'Assumptions'!$B$11)</x:f>
        <x:v>0</x:v>
      </x:c>
      <x:c r="M231" s="80"/>
      <x:c r="N231" s="81"/>
    </x:row>
    <x:row r="232">
      <x:c r="A232" s="325"/>
      <x:c r="B232" s="328"/>
      <x:c r="C232" s="75"/>
      <x:c r="D232" s="81"/>
      <x:c r="E232" s="93" t="n">
        <x:f>IFERROR(VLOOKUP(D232,'Assumptions'!$A$19:$C$23,3,FALSE),0)</x:f>
        <x:v>0</x:v>
      </x:c>
      <x:c r="F232" s="94"/>
      <x:c r="G232" s="93" t="n">
        <x:f>IF(D232="",0,E232+F232)</x:f>
        <x:v>0</x:v>
      </x:c>
      <x:c r="H232" s="98" t="n">
        <x:f>IFERROR(VLOOKUP(D232,'Assumptions'!$A$19:$C$23,2,FALSE),0)</x:f>
        <x:v>0</x:v>
      </x:c>
      <x:c r="I232" s="93" t="n">
        <x:f>IF(D232="",0,H232*'Assumptions'!$B$10)</x:f>
        <x:v>0</x:v>
      </x:c>
      <x:c r="J232" s="337" t="n">
        <x:f>IF(D232="",0,G232-I232)</x:f>
        <x:v>0</x:v>
      </x:c>
      <x:c r="K232" s="331" t="n">
        <x:f>IF(G232=0,0,J232/G232)</x:f>
        <x:v>0</x:v>
      </x:c>
      <x:c r="L232" s="343" t="n">
        <x:f>IF(D232="",0,J232-I232*'Assumptions'!$B$11)</x:f>
        <x:v>0</x:v>
      </x:c>
      <x:c r="M232" s="80"/>
      <x:c r="N232" s="81"/>
    </x:row>
    <x:row r="233">
      <x:c r="A233" s="325"/>
      <x:c r="B233" s="328"/>
      <x:c r="C233" s="75"/>
      <x:c r="D233" s="81"/>
      <x:c r="E233" s="93" t="n">
        <x:f>IFERROR(VLOOKUP(D233,'Assumptions'!$A$19:$C$23,3,FALSE),0)</x:f>
        <x:v>0</x:v>
      </x:c>
      <x:c r="F233" s="94"/>
      <x:c r="G233" s="93" t="n">
        <x:f>IF(D233="",0,E233+F233)</x:f>
        <x:v>0</x:v>
      </x:c>
      <x:c r="H233" s="98" t="n">
        <x:f>IFERROR(VLOOKUP(D233,'Assumptions'!$A$19:$C$23,2,FALSE),0)</x:f>
        <x:v>0</x:v>
      </x:c>
      <x:c r="I233" s="93" t="n">
        <x:f>IF(D233="",0,H233*'Assumptions'!$B$10)</x:f>
        <x:v>0</x:v>
      </x:c>
      <x:c r="J233" s="337" t="n">
        <x:f>IF(D233="",0,G233-I233)</x:f>
        <x:v>0</x:v>
      </x:c>
      <x:c r="K233" s="331" t="n">
        <x:f>IF(G233=0,0,J233/G233)</x:f>
        <x:v>0</x:v>
      </x:c>
      <x:c r="L233" s="343" t="n">
        <x:f>IF(D233="",0,J233-I233*'Assumptions'!$B$11)</x:f>
        <x:v>0</x:v>
      </x:c>
      <x:c r="M233" s="80"/>
      <x:c r="N233" s="81"/>
    </x:row>
    <x:row r="234">
      <x:c r="A234" s="325"/>
      <x:c r="B234" s="328"/>
      <x:c r="C234" s="75"/>
      <x:c r="D234" s="81"/>
      <x:c r="E234" s="93" t="n">
        <x:f>IFERROR(VLOOKUP(D234,'Assumptions'!$A$19:$C$23,3,FALSE),0)</x:f>
        <x:v>0</x:v>
      </x:c>
      <x:c r="F234" s="94"/>
      <x:c r="G234" s="93" t="n">
        <x:f>IF(D234="",0,E234+F234)</x:f>
        <x:v>0</x:v>
      </x:c>
      <x:c r="H234" s="98" t="n">
        <x:f>IFERROR(VLOOKUP(D234,'Assumptions'!$A$19:$C$23,2,FALSE),0)</x:f>
        <x:v>0</x:v>
      </x:c>
      <x:c r="I234" s="93" t="n">
        <x:f>IF(D234="",0,H234*'Assumptions'!$B$10)</x:f>
        <x:v>0</x:v>
      </x:c>
      <x:c r="J234" s="337" t="n">
        <x:f>IF(D234="",0,G234-I234)</x:f>
        <x:v>0</x:v>
      </x:c>
      <x:c r="K234" s="331" t="n">
        <x:f>IF(G234=0,0,J234/G234)</x:f>
        <x:v>0</x:v>
      </x:c>
      <x:c r="L234" s="343" t="n">
        <x:f>IF(D234="",0,J234-I234*'Assumptions'!$B$11)</x:f>
        <x:v>0</x:v>
      </x:c>
      <x:c r="M234" s="80"/>
      <x:c r="N234" s="81"/>
    </x:row>
    <x:row r="235">
      <x:c r="A235" s="325"/>
      <x:c r="B235" s="328"/>
      <x:c r="C235" s="75"/>
      <x:c r="D235" s="81"/>
      <x:c r="E235" s="93" t="n">
        <x:f>IFERROR(VLOOKUP(D235,'Assumptions'!$A$19:$C$23,3,FALSE),0)</x:f>
        <x:v>0</x:v>
      </x:c>
      <x:c r="F235" s="94"/>
      <x:c r="G235" s="93" t="n">
        <x:f>IF(D235="",0,E235+F235)</x:f>
        <x:v>0</x:v>
      </x:c>
      <x:c r="H235" s="98" t="n">
        <x:f>IFERROR(VLOOKUP(D235,'Assumptions'!$A$19:$C$23,2,FALSE),0)</x:f>
        <x:v>0</x:v>
      </x:c>
      <x:c r="I235" s="93" t="n">
        <x:f>IF(D235="",0,H235*'Assumptions'!$B$10)</x:f>
        <x:v>0</x:v>
      </x:c>
      <x:c r="J235" s="337" t="n">
        <x:f>IF(D235="",0,G235-I235)</x:f>
        <x:v>0</x:v>
      </x:c>
      <x:c r="K235" s="331" t="n">
        <x:f>IF(G235=0,0,J235/G235)</x:f>
        <x:v>0</x:v>
      </x:c>
      <x:c r="L235" s="343" t="n">
        <x:f>IF(D235="",0,J235-I235*'Assumptions'!$B$11)</x:f>
        <x:v>0</x:v>
      </x:c>
      <x:c r="M235" s="80"/>
      <x:c r="N235" s="81"/>
    </x:row>
    <x:row r="236">
      <x:c r="A236" s="325"/>
      <x:c r="B236" s="328"/>
      <x:c r="C236" s="75"/>
      <x:c r="D236" s="81"/>
      <x:c r="E236" s="93" t="n">
        <x:f>IFERROR(VLOOKUP(D236,'Assumptions'!$A$19:$C$23,3,FALSE),0)</x:f>
        <x:v>0</x:v>
      </x:c>
      <x:c r="F236" s="94"/>
      <x:c r="G236" s="93" t="n">
        <x:f>IF(D236="",0,E236+F236)</x:f>
        <x:v>0</x:v>
      </x:c>
      <x:c r="H236" s="98" t="n">
        <x:f>IFERROR(VLOOKUP(D236,'Assumptions'!$A$19:$C$23,2,FALSE),0)</x:f>
        <x:v>0</x:v>
      </x:c>
      <x:c r="I236" s="93" t="n">
        <x:f>IF(D236="",0,H236*'Assumptions'!$B$10)</x:f>
        <x:v>0</x:v>
      </x:c>
      <x:c r="J236" s="337" t="n">
        <x:f>IF(D236="",0,G236-I236)</x:f>
        <x:v>0</x:v>
      </x:c>
      <x:c r="K236" s="331" t="n">
        <x:f>IF(G236=0,0,J236/G236)</x:f>
        <x:v>0</x:v>
      </x:c>
      <x:c r="L236" s="343" t="n">
        <x:f>IF(D236="",0,J236-I236*'Assumptions'!$B$11)</x:f>
        <x:v>0</x:v>
      </x:c>
      <x:c r="M236" s="80"/>
      <x:c r="N236" s="81"/>
    </x:row>
    <x:row r="237">
      <x:c r="A237" s="325"/>
      <x:c r="B237" s="328"/>
      <x:c r="C237" s="75"/>
      <x:c r="D237" s="81"/>
      <x:c r="E237" s="93" t="n">
        <x:f>IFERROR(VLOOKUP(D237,'Assumptions'!$A$19:$C$23,3,FALSE),0)</x:f>
        <x:v>0</x:v>
      </x:c>
      <x:c r="F237" s="94"/>
      <x:c r="G237" s="93" t="n">
        <x:f>IF(D237="",0,E237+F237)</x:f>
        <x:v>0</x:v>
      </x:c>
      <x:c r="H237" s="98" t="n">
        <x:f>IFERROR(VLOOKUP(D237,'Assumptions'!$A$19:$C$23,2,FALSE),0)</x:f>
        <x:v>0</x:v>
      </x:c>
      <x:c r="I237" s="93" t="n">
        <x:f>IF(D237="",0,H237*'Assumptions'!$B$10)</x:f>
        <x:v>0</x:v>
      </x:c>
      <x:c r="J237" s="337" t="n">
        <x:f>IF(D237="",0,G237-I237)</x:f>
        <x:v>0</x:v>
      </x:c>
      <x:c r="K237" s="331" t="n">
        <x:f>IF(G237=0,0,J237/G237)</x:f>
        <x:v>0</x:v>
      </x:c>
      <x:c r="L237" s="343" t="n">
        <x:f>IF(D237="",0,J237-I237*'Assumptions'!$B$11)</x:f>
        <x:v>0</x:v>
      </x:c>
      <x:c r="M237" s="80"/>
      <x:c r="N237" s="81"/>
    </x:row>
    <x:row r="238">
      <x:c r="A238" s="325"/>
      <x:c r="B238" s="328"/>
      <x:c r="C238" s="75"/>
      <x:c r="D238" s="81"/>
      <x:c r="E238" s="93" t="n">
        <x:f>IFERROR(VLOOKUP(D238,'Assumptions'!$A$19:$C$23,3,FALSE),0)</x:f>
        <x:v>0</x:v>
      </x:c>
      <x:c r="F238" s="94"/>
      <x:c r="G238" s="93" t="n">
        <x:f>IF(D238="",0,E238+F238)</x:f>
        <x:v>0</x:v>
      </x:c>
      <x:c r="H238" s="98" t="n">
        <x:f>IFERROR(VLOOKUP(D238,'Assumptions'!$A$19:$C$23,2,FALSE),0)</x:f>
        <x:v>0</x:v>
      </x:c>
      <x:c r="I238" s="93" t="n">
        <x:f>IF(D238="",0,H238*'Assumptions'!$B$10)</x:f>
        <x:v>0</x:v>
      </x:c>
      <x:c r="J238" s="337" t="n">
        <x:f>IF(D238="",0,G238-I238)</x:f>
        <x:v>0</x:v>
      </x:c>
      <x:c r="K238" s="331" t="n">
        <x:f>IF(G238=0,0,J238/G238)</x:f>
        <x:v>0</x:v>
      </x:c>
      <x:c r="L238" s="343" t="n">
        <x:f>IF(D238="",0,J238-I238*'Assumptions'!$B$11)</x:f>
        <x:v>0</x:v>
      </x:c>
      <x:c r="M238" s="80"/>
      <x:c r="N238" s="81"/>
    </x:row>
    <x:row r="239">
      <x:c r="A239" s="325"/>
      <x:c r="B239" s="328"/>
      <x:c r="C239" s="75"/>
      <x:c r="D239" s="81"/>
      <x:c r="E239" s="93" t="n">
        <x:f>IFERROR(VLOOKUP(D239,'Assumptions'!$A$19:$C$23,3,FALSE),0)</x:f>
        <x:v>0</x:v>
      </x:c>
      <x:c r="F239" s="94"/>
      <x:c r="G239" s="93" t="n">
        <x:f>IF(D239="",0,E239+F239)</x:f>
        <x:v>0</x:v>
      </x:c>
      <x:c r="H239" s="98" t="n">
        <x:f>IFERROR(VLOOKUP(D239,'Assumptions'!$A$19:$C$23,2,FALSE),0)</x:f>
        <x:v>0</x:v>
      </x:c>
      <x:c r="I239" s="93" t="n">
        <x:f>IF(D239="",0,H239*'Assumptions'!$B$10)</x:f>
        <x:v>0</x:v>
      </x:c>
      <x:c r="J239" s="337" t="n">
        <x:f>IF(D239="",0,G239-I239)</x:f>
        <x:v>0</x:v>
      </x:c>
      <x:c r="K239" s="331" t="n">
        <x:f>IF(G239=0,0,J239/G239)</x:f>
        <x:v>0</x:v>
      </x:c>
      <x:c r="L239" s="343" t="n">
        <x:f>IF(D239="",0,J239-I239*'Assumptions'!$B$11)</x:f>
        <x:v>0</x:v>
      </x:c>
      <x:c r="M239" s="80"/>
      <x:c r="N239" s="81"/>
    </x:row>
    <x:row r="240">
      <x:c r="A240" s="325"/>
      <x:c r="B240" s="328"/>
      <x:c r="C240" s="75"/>
      <x:c r="D240" s="81"/>
      <x:c r="E240" s="93" t="n">
        <x:f>IFERROR(VLOOKUP(D240,'Assumptions'!$A$19:$C$23,3,FALSE),0)</x:f>
        <x:v>0</x:v>
      </x:c>
      <x:c r="F240" s="94"/>
      <x:c r="G240" s="93" t="n">
        <x:f>IF(D240="",0,E240+F240)</x:f>
        <x:v>0</x:v>
      </x:c>
      <x:c r="H240" s="98" t="n">
        <x:f>IFERROR(VLOOKUP(D240,'Assumptions'!$A$19:$C$23,2,FALSE),0)</x:f>
        <x:v>0</x:v>
      </x:c>
      <x:c r="I240" s="93" t="n">
        <x:f>IF(D240="",0,H240*'Assumptions'!$B$10)</x:f>
        <x:v>0</x:v>
      </x:c>
      <x:c r="J240" s="337" t="n">
        <x:f>IF(D240="",0,G240-I240)</x:f>
        <x:v>0</x:v>
      </x:c>
      <x:c r="K240" s="331" t="n">
        <x:f>IF(G240=0,0,J240/G240)</x:f>
        <x:v>0</x:v>
      </x:c>
      <x:c r="L240" s="343" t="n">
        <x:f>IF(D240="",0,J240-I240*'Assumptions'!$B$11)</x:f>
        <x:v>0</x:v>
      </x:c>
      <x:c r="M240" s="80"/>
      <x:c r="N240" s="81"/>
    </x:row>
    <x:row r="241">
      <x:c r="A241" s="325"/>
      <x:c r="B241" s="328"/>
      <x:c r="C241" s="75"/>
      <x:c r="D241" s="81"/>
      <x:c r="E241" s="93" t="n">
        <x:f>IFERROR(VLOOKUP(D241,'Assumptions'!$A$19:$C$23,3,FALSE),0)</x:f>
        <x:v>0</x:v>
      </x:c>
      <x:c r="F241" s="94"/>
      <x:c r="G241" s="93" t="n">
        <x:f>IF(D241="",0,E241+F241)</x:f>
        <x:v>0</x:v>
      </x:c>
      <x:c r="H241" s="98" t="n">
        <x:f>IFERROR(VLOOKUP(D241,'Assumptions'!$A$19:$C$23,2,FALSE),0)</x:f>
        <x:v>0</x:v>
      </x:c>
      <x:c r="I241" s="93" t="n">
        <x:f>IF(D241="",0,H241*'Assumptions'!$B$10)</x:f>
        <x:v>0</x:v>
      </x:c>
      <x:c r="J241" s="337" t="n">
        <x:f>IF(D241="",0,G241-I241)</x:f>
        <x:v>0</x:v>
      </x:c>
      <x:c r="K241" s="331" t="n">
        <x:f>IF(G241=0,0,J241/G241)</x:f>
        <x:v>0</x:v>
      </x:c>
      <x:c r="L241" s="343" t="n">
        <x:f>IF(D241="",0,J241-I241*'Assumptions'!$B$11)</x:f>
        <x:v>0</x:v>
      </x:c>
      <x:c r="M241" s="80"/>
      <x:c r="N241" s="81"/>
    </x:row>
    <x:row r="242">
      <x:c r="A242" s="325"/>
      <x:c r="B242" s="328"/>
      <x:c r="C242" s="75"/>
      <x:c r="D242" s="81"/>
      <x:c r="E242" s="93" t="n">
        <x:f>IFERROR(VLOOKUP(D242,'Assumptions'!$A$19:$C$23,3,FALSE),0)</x:f>
        <x:v>0</x:v>
      </x:c>
      <x:c r="F242" s="94"/>
      <x:c r="G242" s="93" t="n">
        <x:f>IF(D242="",0,E242+F242)</x:f>
        <x:v>0</x:v>
      </x:c>
      <x:c r="H242" s="98" t="n">
        <x:f>IFERROR(VLOOKUP(D242,'Assumptions'!$A$19:$C$23,2,FALSE),0)</x:f>
        <x:v>0</x:v>
      </x:c>
      <x:c r="I242" s="93" t="n">
        <x:f>IF(D242="",0,H242*'Assumptions'!$B$10)</x:f>
        <x:v>0</x:v>
      </x:c>
      <x:c r="J242" s="337" t="n">
        <x:f>IF(D242="",0,G242-I242)</x:f>
        <x:v>0</x:v>
      </x:c>
      <x:c r="K242" s="331" t="n">
        <x:f>IF(G242=0,0,J242/G242)</x:f>
        <x:v>0</x:v>
      </x:c>
      <x:c r="L242" s="343" t="n">
        <x:f>IF(D242="",0,J242-I242*'Assumptions'!$B$11)</x:f>
        <x:v>0</x:v>
      </x:c>
      <x:c r="M242" s="80"/>
      <x:c r="N242" s="81"/>
    </x:row>
    <x:row r="243">
      <x:c r="A243" s="325"/>
      <x:c r="B243" s="328"/>
      <x:c r="C243" s="75"/>
      <x:c r="D243" s="81"/>
      <x:c r="E243" s="93" t="n">
        <x:f>IFERROR(VLOOKUP(D243,'Assumptions'!$A$19:$C$23,3,FALSE),0)</x:f>
        <x:v>0</x:v>
      </x:c>
      <x:c r="F243" s="94"/>
      <x:c r="G243" s="93" t="n">
        <x:f>IF(D243="",0,E243+F243)</x:f>
        <x:v>0</x:v>
      </x:c>
      <x:c r="H243" s="98" t="n">
        <x:f>IFERROR(VLOOKUP(D243,'Assumptions'!$A$19:$C$23,2,FALSE),0)</x:f>
        <x:v>0</x:v>
      </x:c>
      <x:c r="I243" s="93" t="n">
        <x:f>IF(D243="",0,H243*'Assumptions'!$B$10)</x:f>
        <x:v>0</x:v>
      </x:c>
      <x:c r="J243" s="337" t="n">
        <x:f>IF(D243="",0,G243-I243)</x:f>
        <x:v>0</x:v>
      </x:c>
      <x:c r="K243" s="331" t="n">
        <x:f>IF(G243=0,0,J243/G243)</x:f>
        <x:v>0</x:v>
      </x:c>
      <x:c r="L243" s="343" t="n">
        <x:f>IF(D243="",0,J243-I243*'Assumptions'!$B$11)</x:f>
        <x:v>0</x:v>
      </x:c>
      <x:c r="M243" s="80"/>
      <x:c r="N243" s="81"/>
    </x:row>
    <x:row r="244">
      <x:c r="A244" s="325"/>
      <x:c r="B244" s="328"/>
      <x:c r="C244" s="75"/>
      <x:c r="D244" s="81"/>
      <x:c r="E244" s="93" t="n">
        <x:f>IFERROR(VLOOKUP(D244,'Assumptions'!$A$19:$C$23,3,FALSE),0)</x:f>
        <x:v>0</x:v>
      </x:c>
      <x:c r="F244" s="94"/>
      <x:c r="G244" s="93" t="n">
        <x:f>IF(D244="",0,E244+F244)</x:f>
        <x:v>0</x:v>
      </x:c>
      <x:c r="H244" s="98" t="n">
        <x:f>IFERROR(VLOOKUP(D244,'Assumptions'!$A$19:$C$23,2,FALSE),0)</x:f>
        <x:v>0</x:v>
      </x:c>
      <x:c r="I244" s="93" t="n">
        <x:f>IF(D244="",0,H244*'Assumptions'!$B$10)</x:f>
        <x:v>0</x:v>
      </x:c>
      <x:c r="J244" s="337" t="n">
        <x:f>IF(D244="",0,G244-I244)</x:f>
        <x:v>0</x:v>
      </x:c>
      <x:c r="K244" s="331" t="n">
        <x:f>IF(G244=0,0,J244/G244)</x:f>
        <x:v>0</x:v>
      </x:c>
      <x:c r="L244" s="343" t="n">
        <x:f>IF(D244="",0,J244-I244*'Assumptions'!$B$11)</x:f>
        <x:v>0</x:v>
      </x:c>
      <x:c r="M244" s="80"/>
      <x:c r="N244" s="81"/>
    </x:row>
    <x:row r="245">
      <x:c r="A245" s="325"/>
      <x:c r="B245" s="328"/>
      <x:c r="C245" s="75"/>
      <x:c r="D245" s="81"/>
      <x:c r="E245" s="93" t="n">
        <x:f>IFERROR(VLOOKUP(D245,'Assumptions'!$A$19:$C$23,3,FALSE),0)</x:f>
        <x:v>0</x:v>
      </x:c>
      <x:c r="F245" s="94"/>
      <x:c r="G245" s="93" t="n">
        <x:f>IF(D245="",0,E245+F245)</x:f>
        <x:v>0</x:v>
      </x:c>
      <x:c r="H245" s="98" t="n">
        <x:f>IFERROR(VLOOKUP(D245,'Assumptions'!$A$19:$C$23,2,FALSE),0)</x:f>
        <x:v>0</x:v>
      </x:c>
      <x:c r="I245" s="93" t="n">
        <x:f>IF(D245="",0,H245*'Assumptions'!$B$10)</x:f>
        <x:v>0</x:v>
      </x:c>
      <x:c r="J245" s="337" t="n">
        <x:f>IF(D245="",0,G245-I245)</x:f>
        <x:v>0</x:v>
      </x:c>
      <x:c r="K245" s="331" t="n">
        <x:f>IF(G245=0,0,J245/G245)</x:f>
        <x:v>0</x:v>
      </x:c>
      <x:c r="L245" s="343" t="n">
        <x:f>IF(D245="",0,J245-I245*'Assumptions'!$B$11)</x:f>
        <x:v>0</x:v>
      </x:c>
      <x:c r="M245" s="80"/>
      <x:c r="N245" s="81"/>
    </x:row>
    <x:row r="246">
      <x:c r="A246" s="325"/>
      <x:c r="B246" s="328"/>
      <x:c r="C246" s="75"/>
      <x:c r="D246" s="81"/>
      <x:c r="E246" s="93" t="n">
        <x:f>IFERROR(VLOOKUP(D246,'Assumptions'!$A$19:$C$23,3,FALSE),0)</x:f>
        <x:v>0</x:v>
      </x:c>
      <x:c r="F246" s="94"/>
      <x:c r="G246" s="93" t="n">
        <x:f>IF(D246="",0,E246+F246)</x:f>
        <x:v>0</x:v>
      </x:c>
      <x:c r="H246" s="98" t="n">
        <x:f>IFERROR(VLOOKUP(D246,'Assumptions'!$A$19:$C$23,2,FALSE),0)</x:f>
        <x:v>0</x:v>
      </x:c>
      <x:c r="I246" s="93" t="n">
        <x:f>IF(D246="",0,H246*'Assumptions'!$B$10)</x:f>
        <x:v>0</x:v>
      </x:c>
      <x:c r="J246" s="337" t="n">
        <x:f>IF(D246="",0,G246-I246)</x:f>
        <x:v>0</x:v>
      </x:c>
      <x:c r="K246" s="331" t="n">
        <x:f>IF(G246=0,0,J246/G246)</x:f>
        <x:v>0</x:v>
      </x:c>
      <x:c r="L246" s="343" t="n">
        <x:f>IF(D246="",0,J246-I246*'Assumptions'!$B$11)</x:f>
        <x:v>0</x:v>
      </x:c>
      <x:c r="M246" s="80"/>
      <x:c r="N246" s="81"/>
    </x:row>
    <x:row r="247">
      <x:c r="A247" s="325"/>
      <x:c r="B247" s="328"/>
      <x:c r="C247" s="75"/>
      <x:c r="D247" s="81"/>
      <x:c r="E247" s="93" t="n">
        <x:f>IFERROR(VLOOKUP(D247,'Assumptions'!$A$19:$C$23,3,FALSE),0)</x:f>
        <x:v>0</x:v>
      </x:c>
      <x:c r="F247" s="94"/>
      <x:c r="G247" s="93" t="n">
        <x:f>IF(D247="",0,E247+F247)</x:f>
        <x:v>0</x:v>
      </x:c>
      <x:c r="H247" s="98" t="n">
        <x:f>IFERROR(VLOOKUP(D247,'Assumptions'!$A$19:$C$23,2,FALSE),0)</x:f>
        <x:v>0</x:v>
      </x:c>
      <x:c r="I247" s="93" t="n">
        <x:f>IF(D247="",0,H247*'Assumptions'!$B$10)</x:f>
        <x:v>0</x:v>
      </x:c>
      <x:c r="J247" s="337" t="n">
        <x:f>IF(D247="",0,G247-I247)</x:f>
        <x:v>0</x:v>
      </x:c>
      <x:c r="K247" s="331" t="n">
        <x:f>IF(G247=0,0,J247/G247)</x:f>
        <x:v>0</x:v>
      </x:c>
      <x:c r="L247" s="343" t="n">
        <x:f>IF(D247="",0,J247-I247*'Assumptions'!$B$11)</x:f>
        <x:v>0</x:v>
      </x:c>
      <x:c r="M247" s="80"/>
      <x:c r="N247" s="81"/>
    </x:row>
    <x:row r="248">
      <x:c r="A248" s="325"/>
      <x:c r="B248" s="328"/>
      <x:c r="C248" s="75"/>
      <x:c r="D248" s="81"/>
      <x:c r="E248" s="93" t="n">
        <x:f>IFERROR(VLOOKUP(D248,'Assumptions'!$A$19:$C$23,3,FALSE),0)</x:f>
        <x:v>0</x:v>
      </x:c>
      <x:c r="F248" s="94"/>
      <x:c r="G248" s="93" t="n">
        <x:f>IF(D248="",0,E248+F248)</x:f>
        <x:v>0</x:v>
      </x:c>
      <x:c r="H248" s="98" t="n">
        <x:f>IFERROR(VLOOKUP(D248,'Assumptions'!$A$19:$C$23,2,FALSE),0)</x:f>
        <x:v>0</x:v>
      </x:c>
      <x:c r="I248" s="93" t="n">
        <x:f>IF(D248="",0,H248*'Assumptions'!$B$10)</x:f>
        <x:v>0</x:v>
      </x:c>
      <x:c r="J248" s="337" t="n">
        <x:f>IF(D248="",0,G248-I248)</x:f>
        <x:v>0</x:v>
      </x:c>
      <x:c r="K248" s="331" t="n">
        <x:f>IF(G248=0,0,J248/G248)</x:f>
        <x:v>0</x:v>
      </x:c>
      <x:c r="L248" s="343" t="n">
        <x:f>IF(D248="",0,J248-I248*'Assumptions'!$B$11)</x:f>
        <x:v>0</x:v>
      </x:c>
      <x:c r="M248" s="80"/>
      <x:c r="N248" s="81"/>
    </x:row>
    <x:row r="249">
      <x:c r="A249" s="325"/>
      <x:c r="B249" s="328"/>
      <x:c r="C249" s="75"/>
      <x:c r="D249" s="81"/>
      <x:c r="E249" s="93" t="n">
        <x:f>IFERROR(VLOOKUP(D249,'Assumptions'!$A$19:$C$23,3,FALSE),0)</x:f>
        <x:v>0</x:v>
      </x:c>
      <x:c r="F249" s="94"/>
      <x:c r="G249" s="93" t="n">
        <x:f>IF(D249="",0,E249+F249)</x:f>
        <x:v>0</x:v>
      </x:c>
      <x:c r="H249" s="98" t="n">
        <x:f>IFERROR(VLOOKUP(D249,'Assumptions'!$A$19:$C$23,2,FALSE),0)</x:f>
        <x:v>0</x:v>
      </x:c>
      <x:c r="I249" s="93" t="n">
        <x:f>IF(D249="",0,H249*'Assumptions'!$B$10)</x:f>
        <x:v>0</x:v>
      </x:c>
      <x:c r="J249" s="337" t="n">
        <x:f>IF(D249="",0,G249-I249)</x:f>
        <x:v>0</x:v>
      </x:c>
      <x:c r="K249" s="331" t="n">
        <x:f>IF(G249=0,0,J249/G249)</x:f>
        <x:v>0</x:v>
      </x:c>
      <x:c r="L249" s="343" t="n">
        <x:f>IF(D249="",0,J249-I249*'Assumptions'!$B$11)</x:f>
        <x:v>0</x:v>
      </x:c>
      <x:c r="M249" s="80"/>
      <x:c r="N249" s="81"/>
    </x:row>
    <x:row r="250">
      <x:c r="A250" s="325"/>
      <x:c r="B250" s="328"/>
      <x:c r="C250" s="75"/>
      <x:c r="D250" s="81"/>
      <x:c r="E250" s="93" t="n">
        <x:f>IFERROR(VLOOKUP(D250,'Assumptions'!$A$19:$C$23,3,FALSE),0)</x:f>
        <x:v>0</x:v>
      </x:c>
      <x:c r="F250" s="94"/>
      <x:c r="G250" s="93" t="n">
        <x:f>IF(D250="",0,E250+F250)</x:f>
        <x:v>0</x:v>
      </x:c>
      <x:c r="H250" s="98" t="n">
        <x:f>IFERROR(VLOOKUP(D250,'Assumptions'!$A$19:$C$23,2,FALSE),0)</x:f>
        <x:v>0</x:v>
      </x:c>
      <x:c r="I250" s="93" t="n">
        <x:f>IF(D250="",0,H250*'Assumptions'!$B$10)</x:f>
        <x:v>0</x:v>
      </x:c>
      <x:c r="J250" s="337" t="n">
        <x:f>IF(D250="",0,G250-I250)</x:f>
        <x:v>0</x:v>
      </x:c>
      <x:c r="K250" s="331" t="n">
        <x:f>IF(G250=0,0,J250/G250)</x:f>
        <x:v>0</x:v>
      </x:c>
      <x:c r="L250" s="343" t="n">
        <x:f>IF(D250="",0,J250-I250*'Assumptions'!$B$11)</x:f>
        <x:v>0</x:v>
      </x:c>
      <x:c r="M250" s="80"/>
      <x:c r="N250" s="81"/>
    </x:row>
    <x:row r="251">
      <x:c r="A251" s="325"/>
      <x:c r="B251" s="328"/>
      <x:c r="C251" s="75"/>
      <x:c r="D251" s="81"/>
      <x:c r="E251" s="93" t="n">
        <x:f>IFERROR(VLOOKUP(D251,'Assumptions'!$A$19:$C$23,3,FALSE),0)</x:f>
        <x:v>0</x:v>
      </x:c>
      <x:c r="F251" s="94"/>
      <x:c r="G251" s="93" t="n">
        <x:f>IF(D251="",0,E251+F251)</x:f>
        <x:v>0</x:v>
      </x:c>
      <x:c r="H251" s="98" t="n">
        <x:f>IFERROR(VLOOKUP(D251,'Assumptions'!$A$19:$C$23,2,FALSE),0)</x:f>
        <x:v>0</x:v>
      </x:c>
      <x:c r="I251" s="93" t="n">
        <x:f>IF(D251="",0,H251*'Assumptions'!$B$10)</x:f>
        <x:v>0</x:v>
      </x:c>
      <x:c r="J251" s="337" t="n">
        <x:f>IF(D251="",0,G251-I251)</x:f>
        <x:v>0</x:v>
      </x:c>
      <x:c r="K251" s="331" t="n">
        <x:f>IF(G251=0,0,J251/G251)</x:f>
        <x:v>0</x:v>
      </x:c>
      <x:c r="L251" s="343" t="n">
        <x:f>IF(D251="",0,J251-I251*'Assumptions'!$B$11)</x:f>
        <x:v>0</x:v>
      </x:c>
      <x:c r="M251" s="80"/>
      <x:c r="N251" s="81"/>
    </x:row>
    <x:row r="252">
      <x:c r="A252" s="325"/>
      <x:c r="B252" s="328"/>
      <x:c r="C252" s="75"/>
      <x:c r="D252" s="81"/>
      <x:c r="E252" s="93" t="n">
        <x:f>IFERROR(VLOOKUP(D252,'Assumptions'!$A$19:$C$23,3,FALSE),0)</x:f>
        <x:v>0</x:v>
      </x:c>
      <x:c r="F252" s="94"/>
      <x:c r="G252" s="93" t="n">
        <x:f>IF(D252="",0,E252+F252)</x:f>
        <x:v>0</x:v>
      </x:c>
      <x:c r="H252" s="98" t="n">
        <x:f>IFERROR(VLOOKUP(D252,'Assumptions'!$A$19:$C$23,2,FALSE),0)</x:f>
        <x:v>0</x:v>
      </x:c>
      <x:c r="I252" s="93" t="n">
        <x:f>IF(D252="",0,H252*'Assumptions'!$B$10)</x:f>
        <x:v>0</x:v>
      </x:c>
      <x:c r="J252" s="337" t="n">
        <x:f>IF(D252="",0,G252-I252)</x:f>
        <x:v>0</x:v>
      </x:c>
      <x:c r="K252" s="331" t="n">
        <x:f>IF(G252=0,0,J252/G252)</x:f>
        <x:v>0</x:v>
      </x:c>
      <x:c r="L252" s="343" t="n">
        <x:f>IF(D252="",0,J252-I252*'Assumptions'!$B$11)</x:f>
        <x:v>0</x:v>
      </x:c>
      <x:c r="M252" s="80"/>
      <x:c r="N252" s="81"/>
    </x:row>
    <x:row r="253">
      <x:c r="A253" s="325"/>
      <x:c r="B253" s="328"/>
      <x:c r="C253" s="75"/>
      <x:c r="D253" s="81"/>
      <x:c r="E253" s="93" t="n">
        <x:f>IFERROR(VLOOKUP(D253,'Assumptions'!$A$19:$C$23,3,FALSE),0)</x:f>
        <x:v>0</x:v>
      </x:c>
      <x:c r="F253" s="94"/>
      <x:c r="G253" s="93" t="n">
        <x:f>IF(D253="",0,E253+F253)</x:f>
        <x:v>0</x:v>
      </x:c>
      <x:c r="H253" s="98" t="n">
        <x:f>IFERROR(VLOOKUP(D253,'Assumptions'!$A$19:$C$23,2,FALSE),0)</x:f>
        <x:v>0</x:v>
      </x:c>
      <x:c r="I253" s="93" t="n">
        <x:f>IF(D253="",0,H253*'Assumptions'!$B$10)</x:f>
        <x:v>0</x:v>
      </x:c>
      <x:c r="J253" s="337" t="n">
        <x:f>IF(D253="",0,G253-I253)</x:f>
        <x:v>0</x:v>
      </x:c>
      <x:c r="K253" s="331" t="n">
        <x:f>IF(G253=0,0,J253/G253)</x:f>
        <x:v>0</x:v>
      </x:c>
      <x:c r="L253" s="343" t="n">
        <x:f>IF(D253="",0,J253-I253*'Assumptions'!$B$11)</x:f>
        <x:v>0</x:v>
      </x:c>
      <x:c r="M253" s="80"/>
      <x:c r="N253" s="81"/>
    </x:row>
    <x:row r="254">
      <x:c r="A254" s="325"/>
      <x:c r="B254" s="328"/>
      <x:c r="C254" s="75"/>
      <x:c r="D254" s="81"/>
      <x:c r="E254" s="93" t="n">
        <x:f>IFERROR(VLOOKUP(D254,'Assumptions'!$A$19:$C$23,3,FALSE),0)</x:f>
        <x:v>0</x:v>
      </x:c>
      <x:c r="F254" s="94"/>
      <x:c r="G254" s="93" t="n">
        <x:f>IF(D254="",0,E254+F254)</x:f>
        <x:v>0</x:v>
      </x:c>
      <x:c r="H254" s="98" t="n">
        <x:f>IFERROR(VLOOKUP(D254,'Assumptions'!$A$19:$C$23,2,FALSE),0)</x:f>
        <x:v>0</x:v>
      </x:c>
      <x:c r="I254" s="93" t="n">
        <x:f>IF(D254="",0,H254*'Assumptions'!$B$10)</x:f>
        <x:v>0</x:v>
      </x:c>
      <x:c r="J254" s="337" t="n">
        <x:f>IF(D254="",0,G254-I254)</x:f>
        <x:v>0</x:v>
      </x:c>
      <x:c r="K254" s="331" t="n">
        <x:f>IF(G254=0,0,J254/G254)</x:f>
        <x:v>0</x:v>
      </x:c>
      <x:c r="L254" s="343" t="n">
        <x:f>IF(D254="",0,J254-I254*'Assumptions'!$B$11)</x:f>
        <x:v>0</x:v>
      </x:c>
      <x:c r="M254" s="80"/>
      <x:c r="N254" s="81"/>
    </x:row>
    <x:row r="255">
      <x:c r="A255" s="325"/>
      <x:c r="B255" s="328"/>
      <x:c r="C255" s="75"/>
      <x:c r="D255" s="81"/>
      <x:c r="E255" s="93" t="n">
        <x:f>IFERROR(VLOOKUP(D255,'Assumptions'!$A$19:$C$23,3,FALSE),0)</x:f>
        <x:v>0</x:v>
      </x:c>
      <x:c r="F255" s="94"/>
      <x:c r="G255" s="93" t="n">
        <x:f>IF(D255="",0,E255+F255)</x:f>
        <x:v>0</x:v>
      </x:c>
      <x:c r="H255" s="98" t="n">
        <x:f>IFERROR(VLOOKUP(D255,'Assumptions'!$A$19:$C$23,2,FALSE),0)</x:f>
        <x:v>0</x:v>
      </x:c>
      <x:c r="I255" s="93" t="n">
        <x:f>IF(D255="",0,H255*'Assumptions'!$B$10)</x:f>
        <x:v>0</x:v>
      </x:c>
      <x:c r="J255" s="337" t="n">
        <x:f>IF(D255="",0,G255-I255)</x:f>
        <x:v>0</x:v>
      </x:c>
      <x:c r="K255" s="331" t="n">
        <x:f>IF(G255=0,0,J255/G255)</x:f>
        <x:v>0</x:v>
      </x:c>
      <x:c r="L255" s="343" t="n">
        <x:f>IF(D255="",0,J255-I255*'Assumptions'!$B$11)</x:f>
        <x:v>0</x:v>
      </x:c>
      <x:c r="M255" s="80"/>
      <x:c r="N255" s="81"/>
    </x:row>
    <x:row r="256">
      <x:c r="A256" s="325"/>
      <x:c r="B256" s="328"/>
      <x:c r="C256" s="75"/>
      <x:c r="D256" s="81"/>
      <x:c r="E256" s="93" t="n">
        <x:f>IFERROR(VLOOKUP(D256,'Assumptions'!$A$19:$C$23,3,FALSE),0)</x:f>
        <x:v>0</x:v>
      </x:c>
      <x:c r="F256" s="94"/>
      <x:c r="G256" s="93" t="n">
        <x:f>IF(D256="",0,E256+F256)</x:f>
        <x:v>0</x:v>
      </x:c>
      <x:c r="H256" s="98" t="n">
        <x:f>IFERROR(VLOOKUP(D256,'Assumptions'!$A$19:$C$23,2,FALSE),0)</x:f>
        <x:v>0</x:v>
      </x:c>
      <x:c r="I256" s="93" t="n">
        <x:f>IF(D256="",0,H256*'Assumptions'!$B$10)</x:f>
        <x:v>0</x:v>
      </x:c>
      <x:c r="J256" s="337" t="n">
        <x:f>IF(D256="",0,G256-I256)</x:f>
        <x:v>0</x:v>
      </x:c>
      <x:c r="K256" s="331" t="n">
        <x:f>IF(G256=0,0,J256/G256)</x:f>
        <x:v>0</x:v>
      </x:c>
      <x:c r="L256" s="343" t="n">
        <x:f>IF(D256="",0,J256-I256*'Assumptions'!$B$11)</x:f>
        <x:v>0</x:v>
      </x:c>
      <x:c r="M256" s="80"/>
      <x:c r="N256" s="81"/>
    </x:row>
    <x:row r="257">
      <x:c r="A257" s="325"/>
      <x:c r="B257" s="328"/>
      <x:c r="C257" s="75"/>
      <x:c r="D257" s="81"/>
      <x:c r="E257" s="93" t="n">
        <x:f>IFERROR(VLOOKUP(D257,'Assumptions'!$A$19:$C$23,3,FALSE),0)</x:f>
        <x:v>0</x:v>
      </x:c>
      <x:c r="F257" s="94"/>
      <x:c r="G257" s="93" t="n">
        <x:f>IF(D257="",0,E257+F257)</x:f>
        <x:v>0</x:v>
      </x:c>
      <x:c r="H257" s="98" t="n">
        <x:f>IFERROR(VLOOKUP(D257,'Assumptions'!$A$19:$C$23,2,FALSE),0)</x:f>
        <x:v>0</x:v>
      </x:c>
      <x:c r="I257" s="93" t="n">
        <x:f>IF(D257="",0,H257*'Assumptions'!$B$10)</x:f>
        <x:v>0</x:v>
      </x:c>
      <x:c r="J257" s="337" t="n">
        <x:f>IF(D257="",0,G257-I257)</x:f>
        <x:v>0</x:v>
      </x:c>
      <x:c r="K257" s="331" t="n">
        <x:f>IF(G257=0,0,J257/G257)</x:f>
        <x:v>0</x:v>
      </x:c>
      <x:c r="L257" s="343" t="n">
        <x:f>IF(D257="",0,J257-I257*'Assumptions'!$B$11)</x:f>
        <x:v>0</x:v>
      </x:c>
      <x:c r="M257" s="80"/>
      <x:c r="N257" s="81"/>
    </x:row>
    <x:row r="258">
      <x:c r="A258" s="325"/>
      <x:c r="B258" s="328"/>
      <x:c r="C258" s="75"/>
      <x:c r="D258" s="81"/>
      <x:c r="E258" s="93" t="n">
        <x:f>IFERROR(VLOOKUP(D258,'Assumptions'!$A$19:$C$23,3,FALSE),0)</x:f>
        <x:v>0</x:v>
      </x:c>
      <x:c r="F258" s="94"/>
      <x:c r="G258" s="93" t="n">
        <x:f>IF(D258="",0,E258+F258)</x:f>
        <x:v>0</x:v>
      </x:c>
      <x:c r="H258" s="98" t="n">
        <x:f>IFERROR(VLOOKUP(D258,'Assumptions'!$A$19:$C$23,2,FALSE),0)</x:f>
        <x:v>0</x:v>
      </x:c>
      <x:c r="I258" s="93" t="n">
        <x:f>IF(D258="",0,H258*'Assumptions'!$B$10)</x:f>
        <x:v>0</x:v>
      </x:c>
      <x:c r="J258" s="337" t="n">
        <x:f>IF(D258="",0,G258-I258)</x:f>
        <x:v>0</x:v>
      </x:c>
      <x:c r="K258" s="331" t="n">
        <x:f>IF(G258=0,0,J258/G258)</x:f>
        <x:v>0</x:v>
      </x:c>
      <x:c r="L258" s="343" t="n">
        <x:f>IF(D258="",0,J258-I258*'Assumptions'!$B$11)</x:f>
        <x:v>0</x:v>
      </x:c>
      <x:c r="M258" s="80"/>
      <x:c r="N258" s="81"/>
    </x:row>
    <x:row r="259">
      <x:c r="A259" s="325"/>
      <x:c r="B259" s="328"/>
      <x:c r="C259" s="75"/>
      <x:c r="D259" s="81"/>
      <x:c r="E259" s="93" t="n">
        <x:f>IFERROR(VLOOKUP(D259,'Assumptions'!$A$19:$C$23,3,FALSE),0)</x:f>
        <x:v>0</x:v>
      </x:c>
      <x:c r="F259" s="94"/>
      <x:c r="G259" s="93" t="n">
        <x:f>IF(D259="",0,E259+F259)</x:f>
        <x:v>0</x:v>
      </x:c>
      <x:c r="H259" s="98" t="n">
        <x:f>IFERROR(VLOOKUP(D259,'Assumptions'!$A$19:$C$23,2,FALSE),0)</x:f>
        <x:v>0</x:v>
      </x:c>
      <x:c r="I259" s="93" t="n">
        <x:f>IF(D259="",0,H259*'Assumptions'!$B$10)</x:f>
        <x:v>0</x:v>
      </x:c>
      <x:c r="J259" s="337" t="n">
        <x:f>IF(D259="",0,G259-I259)</x:f>
        <x:v>0</x:v>
      </x:c>
      <x:c r="K259" s="331" t="n">
        <x:f>IF(G259=0,0,J259/G259)</x:f>
        <x:v>0</x:v>
      </x:c>
      <x:c r="L259" s="343" t="n">
        <x:f>IF(D259="",0,J259-I259*'Assumptions'!$B$11)</x:f>
        <x:v>0</x:v>
      </x:c>
      <x:c r="M259" s="80"/>
      <x:c r="N259" s="81"/>
    </x:row>
    <x:row r="260">
      <x:c r="A260" s="325"/>
      <x:c r="B260" s="328"/>
      <x:c r="C260" s="75"/>
      <x:c r="D260" s="81"/>
      <x:c r="E260" s="93" t="n">
        <x:f>IFERROR(VLOOKUP(D260,'Assumptions'!$A$19:$C$23,3,FALSE),0)</x:f>
        <x:v>0</x:v>
      </x:c>
      <x:c r="F260" s="94"/>
      <x:c r="G260" s="93" t="n">
        <x:f>IF(D260="",0,E260+F260)</x:f>
        <x:v>0</x:v>
      </x:c>
      <x:c r="H260" s="98" t="n">
        <x:f>IFERROR(VLOOKUP(D260,'Assumptions'!$A$19:$C$23,2,FALSE),0)</x:f>
        <x:v>0</x:v>
      </x:c>
      <x:c r="I260" s="93" t="n">
        <x:f>IF(D260="",0,H260*'Assumptions'!$B$10)</x:f>
        <x:v>0</x:v>
      </x:c>
      <x:c r="J260" s="337" t="n">
        <x:f>IF(D260="",0,G260-I260)</x:f>
        <x:v>0</x:v>
      </x:c>
      <x:c r="K260" s="331" t="n">
        <x:f>IF(G260=0,0,J260/G260)</x:f>
        <x:v>0</x:v>
      </x:c>
      <x:c r="L260" s="343" t="n">
        <x:f>IF(D260="",0,J260-I260*'Assumptions'!$B$11)</x:f>
        <x:v>0</x:v>
      </x:c>
      <x:c r="M260" s="80"/>
      <x:c r="N260" s="81"/>
    </x:row>
    <x:row r="261">
      <x:c r="A261" s="325"/>
      <x:c r="B261" s="328"/>
      <x:c r="C261" s="75"/>
      <x:c r="D261" s="81"/>
      <x:c r="E261" s="93" t="n">
        <x:f>IFERROR(VLOOKUP(D261,'Assumptions'!$A$19:$C$23,3,FALSE),0)</x:f>
        <x:v>0</x:v>
      </x:c>
      <x:c r="F261" s="94"/>
      <x:c r="G261" s="93" t="n">
        <x:f>IF(D261="",0,E261+F261)</x:f>
        <x:v>0</x:v>
      </x:c>
      <x:c r="H261" s="98" t="n">
        <x:f>IFERROR(VLOOKUP(D261,'Assumptions'!$A$19:$C$23,2,FALSE),0)</x:f>
        <x:v>0</x:v>
      </x:c>
      <x:c r="I261" s="93" t="n">
        <x:f>IF(D261="",0,H261*'Assumptions'!$B$10)</x:f>
        <x:v>0</x:v>
      </x:c>
      <x:c r="J261" s="337" t="n">
        <x:f>IF(D261="",0,G261-I261)</x:f>
        <x:v>0</x:v>
      </x:c>
      <x:c r="K261" s="331" t="n">
        <x:f>IF(G261=0,0,J261/G261)</x:f>
        <x:v>0</x:v>
      </x:c>
      <x:c r="L261" s="343" t="n">
        <x:f>IF(D261="",0,J261-I261*'Assumptions'!$B$11)</x:f>
        <x:v>0</x:v>
      </x:c>
      <x:c r="M261" s="80"/>
      <x:c r="N261" s="81"/>
    </x:row>
    <x:row r="262">
      <x:c r="A262" s="325"/>
      <x:c r="B262" s="328"/>
      <x:c r="C262" s="75"/>
      <x:c r="D262" s="81"/>
      <x:c r="E262" s="93" t="n">
        <x:f>IFERROR(VLOOKUP(D262,'Assumptions'!$A$19:$C$23,3,FALSE),0)</x:f>
        <x:v>0</x:v>
      </x:c>
      <x:c r="F262" s="94"/>
      <x:c r="G262" s="93" t="n">
        <x:f>IF(D262="",0,E262+F262)</x:f>
        <x:v>0</x:v>
      </x:c>
      <x:c r="H262" s="98" t="n">
        <x:f>IFERROR(VLOOKUP(D262,'Assumptions'!$A$19:$C$23,2,FALSE),0)</x:f>
        <x:v>0</x:v>
      </x:c>
      <x:c r="I262" s="93" t="n">
        <x:f>IF(D262="",0,H262*'Assumptions'!$B$10)</x:f>
        <x:v>0</x:v>
      </x:c>
      <x:c r="J262" s="337" t="n">
        <x:f>IF(D262="",0,G262-I262)</x:f>
        <x:v>0</x:v>
      </x:c>
      <x:c r="K262" s="331" t="n">
        <x:f>IF(G262=0,0,J262/G262)</x:f>
        <x:v>0</x:v>
      </x:c>
      <x:c r="L262" s="343" t="n">
        <x:f>IF(D262="",0,J262-I262*'Assumptions'!$B$11)</x:f>
        <x:v>0</x:v>
      </x:c>
      <x:c r="M262" s="80"/>
      <x:c r="N262" s="81"/>
    </x:row>
    <x:row r="263">
      <x:c r="A263" s="325"/>
      <x:c r="B263" s="328"/>
      <x:c r="C263" s="75"/>
      <x:c r="D263" s="81"/>
      <x:c r="E263" s="93" t="n">
        <x:f>IFERROR(VLOOKUP(D263,'Assumptions'!$A$19:$C$23,3,FALSE),0)</x:f>
        <x:v>0</x:v>
      </x:c>
      <x:c r="F263" s="94"/>
      <x:c r="G263" s="93" t="n">
        <x:f>IF(D263="",0,E263+F263)</x:f>
        <x:v>0</x:v>
      </x:c>
      <x:c r="H263" s="98" t="n">
        <x:f>IFERROR(VLOOKUP(D263,'Assumptions'!$A$19:$C$23,2,FALSE),0)</x:f>
        <x:v>0</x:v>
      </x:c>
      <x:c r="I263" s="93" t="n">
        <x:f>IF(D263="",0,H263*'Assumptions'!$B$10)</x:f>
        <x:v>0</x:v>
      </x:c>
      <x:c r="J263" s="337" t="n">
        <x:f>IF(D263="",0,G263-I263)</x:f>
        <x:v>0</x:v>
      </x:c>
      <x:c r="K263" s="331" t="n">
        <x:f>IF(G263=0,0,J263/G263)</x:f>
        <x:v>0</x:v>
      </x:c>
      <x:c r="L263" s="343" t="n">
        <x:f>IF(D263="",0,J263-I263*'Assumptions'!$B$11)</x:f>
        <x:v>0</x:v>
      </x:c>
      <x:c r="M263" s="80"/>
      <x:c r="N263" s="81"/>
    </x:row>
    <x:row r="264">
      <x:c r="A264" s="325"/>
      <x:c r="B264" s="328"/>
      <x:c r="C264" s="75"/>
      <x:c r="D264" s="81"/>
      <x:c r="E264" s="93" t="n">
        <x:f>IFERROR(VLOOKUP(D264,'Assumptions'!$A$19:$C$23,3,FALSE),0)</x:f>
        <x:v>0</x:v>
      </x:c>
      <x:c r="F264" s="94"/>
      <x:c r="G264" s="93" t="n">
        <x:f>IF(D264="",0,E264+F264)</x:f>
        <x:v>0</x:v>
      </x:c>
      <x:c r="H264" s="98" t="n">
        <x:f>IFERROR(VLOOKUP(D264,'Assumptions'!$A$19:$C$23,2,FALSE),0)</x:f>
        <x:v>0</x:v>
      </x:c>
      <x:c r="I264" s="93" t="n">
        <x:f>IF(D264="",0,H264*'Assumptions'!$B$10)</x:f>
        <x:v>0</x:v>
      </x:c>
      <x:c r="J264" s="337" t="n">
        <x:f>IF(D264="",0,G264-I264)</x:f>
        <x:v>0</x:v>
      </x:c>
      <x:c r="K264" s="331" t="n">
        <x:f>IF(G264=0,0,J264/G264)</x:f>
        <x:v>0</x:v>
      </x:c>
      <x:c r="L264" s="343" t="n">
        <x:f>IF(D264="",0,J264-I264*'Assumptions'!$B$11)</x:f>
        <x:v>0</x:v>
      </x:c>
      <x:c r="M264" s="80"/>
      <x:c r="N264" s="81"/>
    </x:row>
    <x:row r="265">
      <x:c r="A265" s="325"/>
      <x:c r="B265" s="328"/>
      <x:c r="C265" s="75"/>
      <x:c r="D265" s="81"/>
      <x:c r="E265" s="93" t="n">
        <x:f>IFERROR(VLOOKUP(D265,'Assumptions'!$A$19:$C$23,3,FALSE),0)</x:f>
        <x:v>0</x:v>
      </x:c>
      <x:c r="F265" s="94"/>
      <x:c r="G265" s="93" t="n">
        <x:f>IF(D265="",0,E265+F265)</x:f>
        <x:v>0</x:v>
      </x:c>
      <x:c r="H265" s="98" t="n">
        <x:f>IFERROR(VLOOKUP(D265,'Assumptions'!$A$19:$C$23,2,FALSE),0)</x:f>
        <x:v>0</x:v>
      </x:c>
      <x:c r="I265" s="93" t="n">
        <x:f>IF(D265="",0,H265*'Assumptions'!$B$10)</x:f>
        <x:v>0</x:v>
      </x:c>
      <x:c r="J265" s="337" t="n">
        <x:f>IF(D265="",0,G265-I265)</x:f>
        <x:v>0</x:v>
      </x:c>
      <x:c r="K265" s="331" t="n">
        <x:f>IF(G265=0,0,J265/G265)</x:f>
        <x:v>0</x:v>
      </x:c>
      <x:c r="L265" s="343" t="n">
        <x:f>IF(D265="",0,J265-I265*'Assumptions'!$B$11)</x:f>
        <x:v>0</x:v>
      </x:c>
      <x:c r="M265" s="80"/>
      <x:c r="N265" s="81"/>
    </x:row>
    <x:row r="266">
      <x:c r="A266" s="325"/>
      <x:c r="B266" s="328"/>
      <x:c r="C266" s="75"/>
      <x:c r="D266" s="81"/>
      <x:c r="E266" s="93" t="n">
        <x:f>IFERROR(VLOOKUP(D266,'Assumptions'!$A$19:$C$23,3,FALSE),0)</x:f>
        <x:v>0</x:v>
      </x:c>
      <x:c r="F266" s="94"/>
      <x:c r="G266" s="93" t="n">
        <x:f>IF(D266="",0,E266+F266)</x:f>
        <x:v>0</x:v>
      </x:c>
      <x:c r="H266" s="98" t="n">
        <x:f>IFERROR(VLOOKUP(D266,'Assumptions'!$A$19:$C$23,2,FALSE),0)</x:f>
        <x:v>0</x:v>
      </x:c>
      <x:c r="I266" s="93" t="n">
        <x:f>IF(D266="",0,H266*'Assumptions'!$B$10)</x:f>
        <x:v>0</x:v>
      </x:c>
      <x:c r="J266" s="337" t="n">
        <x:f>IF(D266="",0,G266-I266)</x:f>
        <x:v>0</x:v>
      </x:c>
      <x:c r="K266" s="331" t="n">
        <x:f>IF(G266=0,0,J266/G266)</x:f>
        <x:v>0</x:v>
      </x:c>
      <x:c r="L266" s="343" t="n">
        <x:f>IF(D266="",0,J266-I266*'Assumptions'!$B$11)</x:f>
        <x:v>0</x:v>
      </x:c>
      <x:c r="M266" s="80"/>
      <x:c r="N266" s="81"/>
    </x:row>
    <x:row r="267">
      <x:c r="A267" s="325"/>
      <x:c r="B267" s="328"/>
      <x:c r="C267" s="75"/>
      <x:c r="D267" s="81"/>
      <x:c r="E267" s="93" t="n">
        <x:f>IFERROR(VLOOKUP(D267,'Assumptions'!$A$19:$C$23,3,FALSE),0)</x:f>
        <x:v>0</x:v>
      </x:c>
      <x:c r="F267" s="94"/>
      <x:c r="G267" s="93" t="n">
        <x:f>IF(D267="",0,E267+F267)</x:f>
        <x:v>0</x:v>
      </x:c>
      <x:c r="H267" s="98" t="n">
        <x:f>IFERROR(VLOOKUP(D267,'Assumptions'!$A$19:$C$23,2,FALSE),0)</x:f>
        <x:v>0</x:v>
      </x:c>
      <x:c r="I267" s="93" t="n">
        <x:f>IF(D267="",0,H267*'Assumptions'!$B$10)</x:f>
        <x:v>0</x:v>
      </x:c>
      <x:c r="J267" s="337" t="n">
        <x:f>IF(D267="",0,G267-I267)</x:f>
        <x:v>0</x:v>
      </x:c>
      <x:c r="K267" s="331" t="n">
        <x:f>IF(G267=0,0,J267/G267)</x:f>
        <x:v>0</x:v>
      </x:c>
      <x:c r="L267" s="343" t="n">
        <x:f>IF(D267="",0,J267-I267*'Assumptions'!$B$11)</x:f>
        <x:v>0</x:v>
      </x:c>
      <x:c r="M267" s="80"/>
      <x:c r="N267" s="81"/>
    </x:row>
    <x:row r="268">
      <x:c r="A268" s="325"/>
      <x:c r="B268" s="328"/>
      <x:c r="C268" s="75"/>
      <x:c r="D268" s="81"/>
      <x:c r="E268" s="93" t="n">
        <x:f>IFERROR(VLOOKUP(D268,'Assumptions'!$A$19:$C$23,3,FALSE),0)</x:f>
        <x:v>0</x:v>
      </x:c>
      <x:c r="F268" s="94"/>
      <x:c r="G268" s="93" t="n">
        <x:f>IF(D268="",0,E268+F268)</x:f>
        <x:v>0</x:v>
      </x:c>
      <x:c r="H268" s="98" t="n">
        <x:f>IFERROR(VLOOKUP(D268,'Assumptions'!$A$19:$C$23,2,FALSE),0)</x:f>
        <x:v>0</x:v>
      </x:c>
      <x:c r="I268" s="93" t="n">
        <x:f>IF(D268="",0,H268*'Assumptions'!$B$10)</x:f>
        <x:v>0</x:v>
      </x:c>
      <x:c r="J268" s="337" t="n">
        <x:f>IF(D268="",0,G268-I268)</x:f>
        <x:v>0</x:v>
      </x:c>
      <x:c r="K268" s="331" t="n">
        <x:f>IF(G268=0,0,J268/G268)</x:f>
        <x:v>0</x:v>
      </x:c>
      <x:c r="L268" s="343" t="n">
        <x:f>IF(D268="",0,J268-I268*'Assumptions'!$B$11)</x:f>
        <x:v>0</x:v>
      </x:c>
      <x:c r="M268" s="80"/>
      <x:c r="N268" s="81"/>
    </x:row>
    <x:row r="269">
      <x:c r="A269" s="325"/>
      <x:c r="B269" s="328"/>
      <x:c r="C269" s="75"/>
      <x:c r="D269" s="81"/>
      <x:c r="E269" s="93" t="n">
        <x:f>IFERROR(VLOOKUP(D269,'Assumptions'!$A$19:$C$23,3,FALSE),0)</x:f>
        <x:v>0</x:v>
      </x:c>
      <x:c r="F269" s="94"/>
      <x:c r="G269" s="93" t="n">
        <x:f>IF(D269="",0,E269+F269)</x:f>
        <x:v>0</x:v>
      </x:c>
      <x:c r="H269" s="98" t="n">
        <x:f>IFERROR(VLOOKUP(D269,'Assumptions'!$A$19:$C$23,2,FALSE),0)</x:f>
        <x:v>0</x:v>
      </x:c>
      <x:c r="I269" s="93" t="n">
        <x:f>IF(D269="",0,H269*'Assumptions'!$B$10)</x:f>
        <x:v>0</x:v>
      </x:c>
      <x:c r="J269" s="337" t="n">
        <x:f>IF(D269="",0,G269-I269)</x:f>
        <x:v>0</x:v>
      </x:c>
      <x:c r="K269" s="331" t="n">
        <x:f>IF(G269=0,0,J269/G269)</x:f>
        <x:v>0</x:v>
      </x:c>
      <x:c r="L269" s="343" t="n">
        <x:f>IF(D269="",0,J269-I269*'Assumptions'!$B$11)</x:f>
        <x:v>0</x:v>
      </x:c>
      <x:c r="M269" s="80"/>
      <x:c r="N269" s="81"/>
    </x:row>
    <x:row r="270">
      <x:c r="A270" s="325"/>
      <x:c r="B270" s="328"/>
      <x:c r="C270" s="75"/>
      <x:c r="D270" s="81"/>
      <x:c r="E270" s="93" t="n">
        <x:f>IFERROR(VLOOKUP(D270,'Assumptions'!$A$19:$C$23,3,FALSE),0)</x:f>
        <x:v>0</x:v>
      </x:c>
      <x:c r="F270" s="94"/>
      <x:c r="G270" s="93" t="n">
        <x:f>IF(D270="",0,E270+F270)</x:f>
        <x:v>0</x:v>
      </x:c>
      <x:c r="H270" s="98" t="n">
        <x:f>IFERROR(VLOOKUP(D270,'Assumptions'!$A$19:$C$23,2,FALSE),0)</x:f>
        <x:v>0</x:v>
      </x:c>
      <x:c r="I270" s="93" t="n">
        <x:f>IF(D270="",0,H270*'Assumptions'!$B$10)</x:f>
        <x:v>0</x:v>
      </x:c>
      <x:c r="J270" s="337" t="n">
        <x:f>IF(D270="",0,G270-I270)</x:f>
        <x:v>0</x:v>
      </x:c>
      <x:c r="K270" s="331" t="n">
        <x:f>IF(G270=0,0,J270/G270)</x:f>
        <x:v>0</x:v>
      </x:c>
      <x:c r="L270" s="343" t="n">
        <x:f>IF(D270="",0,J270-I270*'Assumptions'!$B$11)</x:f>
        <x:v>0</x:v>
      </x:c>
      <x:c r="M270" s="80"/>
      <x:c r="N270" s="81"/>
    </x:row>
    <x:row r="271">
      <x:c r="A271" s="325"/>
      <x:c r="B271" s="328"/>
      <x:c r="C271" s="75"/>
      <x:c r="D271" s="81"/>
      <x:c r="E271" s="93" t="n">
        <x:f>IFERROR(VLOOKUP(D271,'Assumptions'!$A$19:$C$23,3,FALSE),0)</x:f>
        <x:v>0</x:v>
      </x:c>
      <x:c r="F271" s="94"/>
      <x:c r="G271" s="93" t="n">
        <x:f>IF(D271="",0,E271+F271)</x:f>
        <x:v>0</x:v>
      </x:c>
      <x:c r="H271" s="98" t="n">
        <x:f>IFERROR(VLOOKUP(D271,'Assumptions'!$A$19:$C$23,2,FALSE),0)</x:f>
        <x:v>0</x:v>
      </x:c>
      <x:c r="I271" s="93" t="n">
        <x:f>IF(D271="",0,H271*'Assumptions'!$B$10)</x:f>
        <x:v>0</x:v>
      </x:c>
      <x:c r="J271" s="337" t="n">
        <x:f>IF(D271="",0,G271-I271)</x:f>
        <x:v>0</x:v>
      </x:c>
      <x:c r="K271" s="331" t="n">
        <x:f>IF(G271=0,0,J271/G271)</x:f>
        <x:v>0</x:v>
      </x:c>
      <x:c r="L271" s="343" t="n">
        <x:f>IF(D271="",0,J271-I271*'Assumptions'!$B$11)</x:f>
        <x:v>0</x:v>
      </x:c>
      <x:c r="M271" s="80"/>
      <x:c r="N271" s="81"/>
    </x:row>
    <x:row r="272">
      <x:c r="A272" s="325"/>
      <x:c r="B272" s="328"/>
      <x:c r="C272" s="75"/>
      <x:c r="D272" s="81"/>
      <x:c r="E272" s="93" t="n">
        <x:f>IFERROR(VLOOKUP(D272,'Assumptions'!$A$19:$C$23,3,FALSE),0)</x:f>
        <x:v>0</x:v>
      </x:c>
      <x:c r="F272" s="94"/>
      <x:c r="G272" s="93" t="n">
        <x:f>IF(D272="",0,E272+F272)</x:f>
        <x:v>0</x:v>
      </x:c>
      <x:c r="H272" s="98" t="n">
        <x:f>IFERROR(VLOOKUP(D272,'Assumptions'!$A$19:$C$23,2,FALSE),0)</x:f>
        <x:v>0</x:v>
      </x:c>
      <x:c r="I272" s="93" t="n">
        <x:f>IF(D272="",0,H272*'Assumptions'!$B$10)</x:f>
        <x:v>0</x:v>
      </x:c>
      <x:c r="J272" s="337" t="n">
        <x:f>IF(D272="",0,G272-I272)</x:f>
        <x:v>0</x:v>
      </x:c>
      <x:c r="K272" s="331" t="n">
        <x:f>IF(G272=0,0,J272/G272)</x:f>
        <x:v>0</x:v>
      </x:c>
      <x:c r="L272" s="343" t="n">
        <x:f>IF(D272="",0,J272-I272*'Assumptions'!$B$11)</x:f>
        <x:v>0</x:v>
      </x:c>
      <x:c r="M272" s="80"/>
      <x:c r="N272" s="81"/>
    </x:row>
    <x:row r="273">
      <x:c r="A273" s="325"/>
      <x:c r="B273" s="328"/>
      <x:c r="C273" s="75"/>
      <x:c r="D273" s="81"/>
      <x:c r="E273" s="93" t="n">
        <x:f>IFERROR(VLOOKUP(D273,'Assumptions'!$A$19:$C$23,3,FALSE),0)</x:f>
        <x:v>0</x:v>
      </x:c>
      <x:c r="F273" s="94"/>
      <x:c r="G273" s="93" t="n">
        <x:f>IF(D273="",0,E273+F273)</x:f>
        <x:v>0</x:v>
      </x:c>
      <x:c r="H273" s="98" t="n">
        <x:f>IFERROR(VLOOKUP(D273,'Assumptions'!$A$19:$C$23,2,FALSE),0)</x:f>
        <x:v>0</x:v>
      </x:c>
      <x:c r="I273" s="93" t="n">
        <x:f>IF(D273="",0,H273*'Assumptions'!$B$10)</x:f>
        <x:v>0</x:v>
      </x:c>
      <x:c r="J273" s="337" t="n">
        <x:f>IF(D273="",0,G273-I273)</x:f>
        <x:v>0</x:v>
      </x:c>
      <x:c r="K273" s="331" t="n">
        <x:f>IF(G273=0,0,J273/G273)</x:f>
        <x:v>0</x:v>
      </x:c>
      <x:c r="L273" s="343" t="n">
        <x:f>IF(D273="",0,J273-I273*'Assumptions'!$B$11)</x:f>
        <x:v>0</x:v>
      </x:c>
      <x:c r="M273" s="80"/>
      <x:c r="N273" s="81"/>
    </x:row>
    <x:row r="274">
      <x:c r="A274" s="325"/>
      <x:c r="B274" s="328"/>
      <x:c r="C274" s="75"/>
      <x:c r="D274" s="81"/>
      <x:c r="E274" s="93" t="n">
        <x:f>IFERROR(VLOOKUP(D274,'Assumptions'!$A$19:$C$23,3,FALSE),0)</x:f>
        <x:v>0</x:v>
      </x:c>
      <x:c r="F274" s="94"/>
      <x:c r="G274" s="93" t="n">
        <x:f>IF(D274="",0,E274+F274)</x:f>
        <x:v>0</x:v>
      </x:c>
      <x:c r="H274" s="98" t="n">
        <x:f>IFERROR(VLOOKUP(D274,'Assumptions'!$A$19:$C$23,2,FALSE),0)</x:f>
        <x:v>0</x:v>
      </x:c>
      <x:c r="I274" s="93" t="n">
        <x:f>IF(D274="",0,H274*'Assumptions'!$B$10)</x:f>
        <x:v>0</x:v>
      </x:c>
      <x:c r="J274" s="337" t="n">
        <x:f>IF(D274="",0,G274-I274)</x:f>
        <x:v>0</x:v>
      </x:c>
      <x:c r="K274" s="331" t="n">
        <x:f>IF(G274=0,0,J274/G274)</x:f>
        <x:v>0</x:v>
      </x:c>
      <x:c r="L274" s="343" t="n">
        <x:f>IF(D274="",0,J274-I274*'Assumptions'!$B$11)</x:f>
        <x:v>0</x:v>
      </x:c>
      <x:c r="M274" s="80"/>
      <x:c r="N274" s="81"/>
    </x:row>
    <x:row r="275">
      <x:c r="A275" s="325"/>
      <x:c r="B275" s="328"/>
      <x:c r="C275" s="75"/>
      <x:c r="D275" s="81"/>
      <x:c r="E275" s="93" t="n">
        <x:f>IFERROR(VLOOKUP(D275,'Assumptions'!$A$19:$C$23,3,FALSE),0)</x:f>
        <x:v>0</x:v>
      </x:c>
      <x:c r="F275" s="94"/>
      <x:c r="G275" s="93" t="n">
        <x:f>IF(D275="",0,E275+F275)</x:f>
        <x:v>0</x:v>
      </x:c>
      <x:c r="H275" s="98" t="n">
        <x:f>IFERROR(VLOOKUP(D275,'Assumptions'!$A$19:$C$23,2,FALSE),0)</x:f>
        <x:v>0</x:v>
      </x:c>
      <x:c r="I275" s="93" t="n">
        <x:f>IF(D275="",0,H275*'Assumptions'!$B$10)</x:f>
        <x:v>0</x:v>
      </x:c>
      <x:c r="J275" s="337" t="n">
        <x:f>IF(D275="",0,G275-I275)</x:f>
        <x:v>0</x:v>
      </x:c>
      <x:c r="K275" s="331" t="n">
        <x:f>IF(G275=0,0,J275/G275)</x:f>
        <x:v>0</x:v>
      </x:c>
      <x:c r="L275" s="343" t="n">
        <x:f>IF(D275="",0,J275-I275*'Assumptions'!$B$11)</x:f>
        <x:v>0</x:v>
      </x:c>
      <x:c r="M275" s="80"/>
      <x:c r="N275" s="81"/>
    </x:row>
    <x:row r="276">
      <x:c r="A276" s="325"/>
      <x:c r="B276" s="328"/>
      <x:c r="C276" s="75"/>
      <x:c r="D276" s="81"/>
      <x:c r="E276" s="93" t="n">
        <x:f>IFERROR(VLOOKUP(D276,'Assumptions'!$A$19:$C$23,3,FALSE),0)</x:f>
        <x:v>0</x:v>
      </x:c>
      <x:c r="F276" s="94"/>
      <x:c r="G276" s="93" t="n">
        <x:f>IF(D276="",0,E276+F276)</x:f>
        <x:v>0</x:v>
      </x:c>
      <x:c r="H276" s="98" t="n">
        <x:f>IFERROR(VLOOKUP(D276,'Assumptions'!$A$19:$C$23,2,FALSE),0)</x:f>
        <x:v>0</x:v>
      </x:c>
      <x:c r="I276" s="93" t="n">
        <x:f>IF(D276="",0,H276*'Assumptions'!$B$10)</x:f>
        <x:v>0</x:v>
      </x:c>
      <x:c r="J276" s="337" t="n">
        <x:f>IF(D276="",0,G276-I276)</x:f>
        <x:v>0</x:v>
      </x:c>
      <x:c r="K276" s="331" t="n">
        <x:f>IF(G276=0,0,J276/G276)</x:f>
        <x:v>0</x:v>
      </x:c>
      <x:c r="L276" s="343" t="n">
        <x:f>IF(D276="",0,J276-I276*'Assumptions'!$B$11)</x:f>
        <x:v>0</x:v>
      </x:c>
      <x:c r="M276" s="80"/>
      <x:c r="N276" s="81"/>
    </x:row>
    <x:row r="277">
      <x:c r="A277" s="325"/>
      <x:c r="B277" s="328"/>
      <x:c r="C277" s="75"/>
      <x:c r="D277" s="81"/>
      <x:c r="E277" s="93" t="n">
        <x:f>IFERROR(VLOOKUP(D277,'Assumptions'!$A$19:$C$23,3,FALSE),0)</x:f>
        <x:v>0</x:v>
      </x:c>
      <x:c r="F277" s="94"/>
      <x:c r="G277" s="93" t="n">
        <x:f>IF(D277="",0,E277+F277)</x:f>
        <x:v>0</x:v>
      </x:c>
      <x:c r="H277" s="98" t="n">
        <x:f>IFERROR(VLOOKUP(D277,'Assumptions'!$A$19:$C$23,2,FALSE),0)</x:f>
        <x:v>0</x:v>
      </x:c>
      <x:c r="I277" s="93" t="n">
        <x:f>IF(D277="",0,H277*'Assumptions'!$B$10)</x:f>
        <x:v>0</x:v>
      </x:c>
      <x:c r="J277" s="337" t="n">
        <x:f>IF(D277="",0,G277-I277)</x:f>
        <x:v>0</x:v>
      </x:c>
      <x:c r="K277" s="331" t="n">
        <x:f>IF(G277=0,0,J277/G277)</x:f>
        <x:v>0</x:v>
      </x:c>
      <x:c r="L277" s="343" t="n">
        <x:f>IF(D277="",0,J277-I277*'Assumptions'!$B$11)</x:f>
        <x:v>0</x:v>
      </x:c>
      <x:c r="M277" s="80"/>
      <x:c r="N277" s="81"/>
    </x:row>
    <x:row r="278">
      <x:c r="A278" s="325"/>
      <x:c r="B278" s="328"/>
      <x:c r="C278" s="75"/>
      <x:c r="D278" s="81"/>
      <x:c r="E278" s="93" t="n">
        <x:f>IFERROR(VLOOKUP(D278,'Assumptions'!$A$19:$C$23,3,FALSE),0)</x:f>
        <x:v>0</x:v>
      </x:c>
      <x:c r="F278" s="94"/>
      <x:c r="G278" s="93" t="n">
        <x:f>IF(D278="",0,E278+F278)</x:f>
        <x:v>0</x:v>
      </x:c>
      <x:c r="H278" s="98" t="n">
        <x:f>IFERROR(VLOOKUP(D278,'Assumptions'!$A$19:$C$23,2,FALSE),0)</x:f>
        <x:v>0</x:v>
      </x:c>
      <x:c r="I278" s="93" t="n">
        <x:f>IF(D278="",0,H278*'Assumptions'!$B$10)</x:f>
        <x:v>0</x:v>
      </x:c>
      <x:c r="J278" s="337" t="n">
        <x:f>IF(D278="",0,G278-I278)</x:f>
        <x:v>0</x:v>
      </x:c>
      <x:c r="K278" s="331" t="n">
        <x:f>IF(G278=0,0,J278/G278)</x:f>
        <x:v>0</x:v>
      </x:c>
      <x:c r="L278" s="343" t="n">
        <x:f>IF(D278="",0,J278-I278*'Assumptions'!$B$11)</x:f>
        <x:v>0</x:v>
      </x:c>
      <x:c r="M278" s="80"/>
      <x:c r="N278" s="81"/>
    </x:row>
    <x:row r="279">
      <x:c r="A279" s="325"/>
      <x:c r="B279" s="328"/>
      <x:c r="C279" s="75"/>
      <x:c r="D279" s="81"/>
      <x:c r="E279" s="93" t="n">
        <x:f>IFERROR(VLOOKUP(D279,'Assumptions'!$A$19:$C$23,3,FALSE),0)</x:f>
        <x:v>0</x:v>
      </x:c>
      <x:c r="F279" s="94"/>
      <x:c r="G279" s="93" t="n">
        <x:f>IF(D279="",0,E279+F279)</x:f>
        <x:v>0</x:v>
      </x:c>
      <x:c r="H279" s="98" t="n">
        <x:f>IFERROR(VLOOKUP(D279,'Assumptions'!$A$19:$C$23,2,FALSE),0)</x:f>
        <x:v>0</x:v>
      </x:c>
      <x:c r="I279" s="93" t="n">
        <x:f>IF(D279="",0,H279*'Assumptions'!$B$10)</x:f>
        <x:v>0</x:v>
      </x:c>
      <x:c r="J279" s="337" t="n">
        <x:f>IF(D279="",0,G279-I279)</x:f>
        <x:v>0</x:v>
      </x:c>
      <x:c r="K279" s="331" t="n">
        <x:f>IF(G279=0,0,J279/G279)</x:f>
        <x:v>0</x:v>
      </x:c>
      <x:c r="L279" s="343" t="n">
        <x:f>IF(D279="",0,J279-I279*'Assumptions'!$B$11)</x:f>
        <x:v>0</x:v>
      </x:c>
      <x:c r="M279" s="80"/>
      <x:c r="N279" s="81"/>
    </x:row>
    <x:row r="280">
      <x:c r="A280" s="325"/>
      <x:c r="B280" s="328"/>
      <x:c r="C280" s="75"/>
      <x:c r="D280" s="81"/>
      <x:c r="E280" s="93" t="n">
        <x:f>IFERROR(VLOOKUP(D280,'Assumptions'!$A$19:$C$23,3,FALSE),0)</x:f>
        <x:v>0</x:v>
      </x:c>
      <x:c r="F280" s="94"/>
      <x:c r="G280" s="93" t="n">
        <x:f>IF(D280="",0,E280+F280)</x:f>
        <x:v>0</x:v>
      </x:c>
      <x:c r="H280" s="98" t="n">
        <x:f>IFERROR(VLOOKUP(D280,'Assumptions'!$A$19:$C$23,2,FALSE),0)</x:f>
        <x:v>0</x:v>
      </x:c>
      <x:c r="I280" s="93" t="n">
        <x:f>IF(D280="",0,H280*'Assumptions'!$B$10)</x:f>
        <x:v>0</x:v>
      </x:c>
      <x:c r="J280" s="337" t="n">
        <x:f>IF(D280="",0,G280-I280)</x:f>
        <x:v>0</x:v>
      </x:c>
      <x:c r="K280" s="331" t="n">
        <x:f>IF(G280=0,0,J280/G280)</x:f>
        <x:v>0</x:v>
      </x:c>
      <x:c r="L280" s="343" t="n">
        <x:f>IF(D280="",0,J280-I280*'Assumptions'!$B$11)</x:f>
        <x:v>0</x:v>
      </x:c>
      <x:c r="M280" s="80"/>
      <x:c r="N280" s="81"/>
    </x:row>
    <x:row r="281">
      <x:c r="A281" s="325"/>
      <x:c r="B281" s="328"/>
      <x:c r="C281" s="75"/>
      <x:c r="D281" s="81"/>
      <x:c r="E281" s="93" t="n">
        <x:f>IFERROR(VLOOKUP(D281,'Assumptions'!$A$19:$C$23,3,FALSE),0)</x:f>
        <x:v>0</x:v>
      </x:c>
      <x:c r="F281" s="94"/>
      <x:c r="G281" s="93" t="n">
        <x:f>IF(D281="",0,E281+F281)</x:f>
        <x:v>0</x:v>
      </x:c>
      <x:c r="H281" s="98" t="n">
        <x:f>IFERROR(VLOOKUP(D281,'Assumptions'!$A$19:$C$23,2,FALSE),0)</x:f>
        <x:v>0</x:v>
      </x:c>
      <x:c r="I281" s="93" t="n">
        <x:f>IF(D281="",0,H281*'Assumptions'!$B$10)</x:f>
        <x:v>0</x:v>
      </x:c>
      <x:c r="J281" s="337" t="n">
        <x:f>IF(D281="",0,G281-I281)</x:f>
        <x:v>0</x:v>
      </x:c>
      <x:c r="K281" s="331" t="n">
        <x:f>IF(G281=0,0,J281/G281)</x:f>
        <x:v>0</x:v>
      </x:c>
      <x:c r="L281" s="343" t="n">
        <x:f>IF(D281="",0,J281-I281*'Assumptions'!$B$11)</x:f>
        <x:v>0</x:v>
      </x:c>
      <x:c r="M281" s="80"/>
      <x:c r="N281" s="81"/>
    </x:row>
    <x:row r="282">
      <x:c r="A282" s="325"/>
      <x:c r="B282" s="328"/>
      <x:c r="C282" s="75"/>
      <x:c r="D282" s="81"/>
      <x:c r="E282" s="93" t="n">
        <x:f>IFERROR(VLOOKUP(D282,'Assumptions'!$A$19:$C$23,3,FALSE),0)</x:f>
        <x:v>0</x:v>
      </x:c>
      <x:c r="F282" s="94"/>
      <x:c r="G282" s="93" t="n">
        <x:f>IF(D282="",0,E282+F282)</x:f>
        <x:v>0</x:v>
      </x:c>
      <x:c r="H282" s="98" t="n">
        <x:f>IFERROR(VLOOKUP(D282,'Assumptions'!$A$19:$C$23,2,FALSE),0)</x:f>
        <x:v>0</x:v>
      </x:c>
      <x:c r="I282" s="93" t="n">
        <x:f>IF(D282="",0,H282*'Assumptions'!$B$10)</x:f>
        <x:v>0</x:v>
      </x:c>
      <x:c r="J282" s="337" t="n">
        <x:f>IF(D282="",0,G282-I282)</x:f>
        <x:v>0</x:v>
      </x:c>
      <x:c r="K282" s="331" t="n">
        <x:f>IF(G282=0,0,J282/G282)</x:f>
        <x:v>0</x:v>
      </x:c>
      <x:c r="L282" s="343" t="n">
        <x:f>IF(D282="",0,J282-I282*'Assumptions'!$B$11)</x:f>
        <x:v>0</x:v>
      </x:c>
      <x:c r="M282" s="80"/>
      <x:c r="N282" s="81"/>
    </x:row>
    <x:row r="283">
      <x:c r="A283" s="325"/>
      <x:c r="B283" s="328"/>
      <x:c r="C283" s="75"/>
      <x:c r="D283" s="81"/>
      <x:c r="E283" s="93" t="n">
        <x:f>IFERROR(VLOOKUP(D283,'Assumptions'!$A$19:$C$23,3,FALSE),0)</x:f>
        <x:v>0</x:v>
      </x:c>
      <x:c r="F283" s="94"/>
      <x:c r="G283" s="93" t="n">
        <x:f>IF(D283="",0,E283+F283)</x:f>
        <x:v>0</x:v>
      </x:c>
      <x:c r="H283" s="98" t="n">
        <x:f>IFERROR(VLOOKUP(D283,'Assumptions'!$A$19:$C$23,2,FALSE),0)</x:f>
        <x:v>0</x:v>
      </x:c>
      <x:c r="I283" s="93" t="n">
        <x:f>IF(D283="",0,H283*'Assumptions'!$B$10)</x:f>
        <x:v>0</x:v>
      </x:c>
      <x:c r="J283" s="337" t="n">
        <x:f>IF(D283="",0,G283-I283)</x:f>
        <x:v>0</x:v>
      </x:c>
      <x:c r="K283" s="331" t="n">
        <x:f>IF(G283=0,0,J283/G283)</x:f>
        <x:v>0</x:v>
      </x:c>
      <x:c r="L283" s="343" t="n">
        <x:f>IF(D283="",0,J283-I283*'Assumptions'!$B$11)</x:f>
        <x:v>0</x:v>
      </x:c>
      <x:c r="M283" s="80"/>
      <x:c r="N283" s="81"/>
    </x:row>
    <x:row r="284">
      <x:c r="A284" s="325"/>
      <x:c r="B284" s="328"/>
      <x:c r="C284" s="75"/>
      <x:c r="D284" s="81"/>
      <x:c r="E284" s="93" t="n">
        <x:f>IFERROR(VLOOKUP(D284,'Assumptions'!$A$19:$C$23,3,FALSE),0)</x:f>
        <x:v>0</x:v>
      </x:c>
      <x:c r="F284" s="94"/>
      <x:c r="G284" s="93" t="n">
        <x:f>IF(D284="",0,E284+F284)</x:f>
        <x:v>0</x:v>
      </x:c>
      <x:c r="H284" s="98" t="n">
        <x:f>IFERROR(VLOOKUP(D284,'Assumptions'!$A$19:$C$23,2,FALSE),0)</x:f>
        <x:v>0</x:v>
      </x:c>
      <x:c r="I284" s="93" t="n">
        <x:f>IF(D284="",0,H284*'Assumptions'!$B$10)</x:f>
        <x:v>0</x:v>
      </x:c>
      <x:c r="J284" s="337" t="n">
        <x:f>IF(D284="",0,G284-I284)</x:f>
        <x:v>0</x:v>
      </x:c>
      <x:c r="K284" s="331" t="n">
        <x:f>IF(G284=0,0,J284/G284)</x:f>
        <x:v>0</x:v>
      </x:c>
      <x:c r="L284" s="343" t="n">
        <x:f>IF(D284="",0,J284-I284*'Assumptions'!$B$11)</x:f>
        <x:v>0</x:v>
      </x:c>
      <x:c r="M284" s="80"/>
      <x:c r="N284" s="81"/>
    </x:row>
    <x:row r="285">
      <x:c r="A285" s="325"/>
      <x:c r="B285" s="328"/>
      <x:c r="C285" s="75"/>
      <x:c r="D285" s="81"/>
      <x:c r="E285" s="93" t="n">
        <x:f>IFERROR(VLOOKUP(D285,'Assumptions'!$A$19:$C$23,3,FALSE),0)</x:f>
        <x:v>0</x:v>
      </x:c>
      <x:c r="F285" s="94"/>
      <x:c r="G285" s="93" t="n">
        <x:f>IF(D285="",0,E285+F285)</x:f>
        <x:v>0</x:v>
      </x:c>
      <x:c r="H285" s="98" t="n">
        <x:f>IFERROR(VLOOKUP(D285,'Assumptions'!$A$19:$C$23,2,FALSE),0)</x:f>
        <x:v>0</x:v>
      </x:c>
      <x:c r="I285" s="93" t="n">
        <x:f>IF(D285="",0,H285*'Assumptions'!$B$10)</x:f>
        <x:v>0</x:v>
      </x:c>
      <x:c r="J285" s="337" t="n">
        <x:f>IF(D285="",0,G285-I285)</x:f>
        <x:v>0</x:v>
      </x:c>
      <x:c r="K285" s="331" t="n">
        <x:f>IF(G285=0,0,J285/G285)</x:f>
        <x:v>0</x:v>
      </x:c>
      <x:c r="L285" s="343" t="n">
        <x:f>IF(D285="",0,J285-I285*'Assumptions'!$B$11)</x:f>
        <x:v>0</x:v>
      </x:c>
      <x:c r="M285" s="80"/>
      <x:c r="N285" s="81"/>
    </x:row>
    <x:row r="286">
      <x:c r="A286" s="325"/>
      <x:c r="B286" s="328"/>
      <x:c r="C286" s="75"/>
      <x:c r="D286" s="81"/>
      <x:c r="E286" s="93" t="n">
        <x:f>IFERROR(VLOOKUP(D286,'Assumptions'!$A$19:$C$23,3,FALSE),0)</x:f>
        <x:v>0</x:v>
      </x:c>
      <x:c r="F286" s="94"/>
      <x:c r="G286" s="93" t="n">
        <x:f>IF(D286="",0,E286+F286)</x:f>
        <x:v>0</x:v>
      </x:c>
      <x:c r="H286" s="98" t="n">
        <x:f>IFERROR(VLOOKUP(D286,'Assumptions'!$A$19:$C$23,2,FALSE),0)</x:f>
        <x:v>0</x:v>
      </x:c>
      <x:c r="I286" s="93" t="n">
        <x:f>IF(D286="",0,H286*'Assumptions'!$B$10)</x:f>
        <x:v>0</x:v>
      </x:c>
      <x:c r="J286" s="337" t="n">
        <x:f>IF(D286="",0,G286-I286)</x:f>
        <x:v>0</x:v>
      </x:c>
      <x:c r="K286" s="331" t="n">
        <x:f>IF(G286=0,0,J286/G286)</x:f>
        <x:v>0</x:v>
      </x:c>
      <x:c r="L286" s="343" t="n">
        <x:f>IF(D286="",0,J286-I286*'Assumptions'!$B$11)</x:f>
        <x:v>0</x:v>
      </x:c>
      <x:c r="M286" s="80"/>
      <x:c r="N286" s="81"/>
    </x:row>
    <x:row r="287">
      <x:c r="A287" s="325"/>
      <x:c r="B287" s="328"/>
      <x:c r="C287" s="75"/>
      <x:c r="D287" s="81"/>
      <x:c r="E287" s="93" t="n">
        <x:f>IFERROR(VLOOKUP(D287,'Assumptions'!$A$19:$C$23,3,FALSE),0)</x:f>
        <x:v>0</x:v>
      </x:c>
      <x:c r="F287" s="94"/>
      <x:c r="G287" s="93" t="n">
        <x:f>IF(D287="",0,E287+F287)</x:f>
        <x:v>0</x:v>
      </x:c>
      <x:c r="H287" s="98" t="n">
        <x:f>IFERROR(VLOOKUP(D287,'Assumptions'!$A$19:$C$23,2,FALSE),0)</x:f>
        <x:v>0</x:v>
      </x:c>
      <x:c r="I287" s="93" t="n">
        <x:f>IF(D287="",0,H287*'Assumptions'!$B$10)</x:f>
        <x:v>0</x:v>
      </x:c>
      <x:c r="J287" s="337" t="n">
        <x:f>IF(D287="",0,G287-I287)</x:f>
        <x:v>0</x:v>
      </x:c>
      <x:c r="K287" s="331" t="n">
        <x:f>IF(G287=0,0,J287/G287)</x:f>
        <x:v>0</x:v>
      </x:c>
      <x:c r="L287" s="343" t="n">
        <x:f>IF(D287="",0,J287-I287*'Assumptions'!$B$11)</x:f>
        <x:v>0</x:v>
      </x:c>
      <x:c r="M287" s="80"/>
      <x:c r="N287" s="81"/>
    </x:row>
    <x:row r="288">
      <x:c r="A288" s="325"/>
      <x:c r="B288" s="328"/>
      <x:c r="C288" s="75"/>
      <x:c r="D288" s="81"/>
      <x:c r="E288" s="93" t="n">
        <x:f>IFERROR(VLOOKUP(D288,'Assumptions'!$A$19:$C$23,3,FALSE),0)</x:f>
        <x:v>0</x:v>
      </x:c>
      <x:c r="F288" s="94"/>
      <x:c r="G288" s="93" t="n">
        <x:f>IF(D288="",0,E288+F288)</x:f>
        <x:v>0</x:v>
      </x:c>
      <x:c r="H288" s="98" t="n">
        <x:f>IFERROR(VLOOKUP(D288,'Assumptions'!$A$19:$C$23,2,FALSE),0)</x:f>
        <x:v>0</x:v>
      </x:c>
      <x:c r="I288" s="93" t="n">
        <x:f>IF(D288="",0,H288*'Assumptions'!$B$10)</x:f>
        <x:v>0</x:v>
      </x:c>
      <x:c r="J288" s="337" t="n">
        <x:f>IF(D288="",0,G288-I288)</x:f>
        <x:v>0</x:v>
      </x:c>
      <x:c r="K288" s="331" t="n">
        <x:f>IF(G288=0,0,J288/G288)</x:f>
        <x:v>0</x:v>
      </x:c>
      <x:c r="L288" s="343" t="n">
        <x:f>IF(D288="",0,J288-I288*'Assumptions'!$B$11)</x:f>
        <x:v>0</x:v>
      </x:c>
      <x:c r="M288" s="80"/>
      <x:c r="N288" s="81"/>
    </x:row>
    <x:row r="289">
      <x:c r="A289" s="325"/>
      <x:c r="B289" s="328"/>
      <x:c r="C289" s="75"/>
      <x:c r="D289" s="81"/>
      <x:c r="E289" s="93" t="n">
        <x:f>IFERROR(VLOOKUP(D289,'Assumptions'!$A$19:$C$23,3,FALSE),0)</x:f>
        <x:v>0</x:v>
      </x:c>
      <x:c r="F289" s="94"/>
      <x:c r="G289" s="93" t="n">
        <x:f>IF(D289="",0,E289+F289)</x:f>
        <x:v>0</x:v>
      </x:c>
      <x:c r="H289" s="98" t="n">
        <x:f>IFERROR(VLOOKUP(D289,'Assumptions'!$A$19:$C$23,2,FALSE),0)</x:f>
        <x:v>0</x:v>
      </x:c>
      <x:c r="I289" s="93" t="n">
        <x:f>IF(D289="",0,H289*'Assumptions'!$B$10)</x:f>
        <x:v>0</x:v>
      </x:c>
      <x:c r="J289" s="337" t="n">
        <x:f>IF(D289="",0,G289-I289)</x:f>
        <x:v>0</x:v>
      </x:c>
      <x:c r="K289" s="331" t="n">
        <x:f>IF(G289=0,0,J289/G289)</x:f>
        <x:v>0</x:v>
      </x:c>
      <x:c r="L289" s="343" t="n">
        <x:f>IF(D289="",0,J289-I289*'Assumptions'!$B$11)</x:f>
        <x:v>0</x:v>
      </x:c>
      <x:c r="M289" s="80"/>
      <x:c r="N289" s="81"/>
    </x:row>
    <x:row r="290">
      <x:c r="A290" s="325"/>
      <x:c r="B290" s="328"/>
      <x:c r="C290" s="75"/>
      <x:c r="D290" s="81"/>
      <x:c r="E290" s="93" t="n">
        <x:f>IFERROR(VLOOKUP(D290,'Assumptions'!$A$19:$C$23,3,FALSE),0)</x:f>
        <x:v>0</x:v>
      </x:c>
      <x:c r="F290" s="94"/>
      <x:c r="G290" s="93" t="n">
        <x:f>IF(D290="",0,E290+F290)</x:f>
        <x:v>0</x:v>
      </x:c>
      <x:c r="H290" s="98" t="n">
        <x:f>IFERROR(VLOOKUP(D290,'Assumptions'!$A$19:$C$23,2,FALSE),0)</x:f>
        <x:v>0</x:v>
      </x:c>
      <x:c r="I290" s="93" t="n">
        <x:f>IF(D290="",0,H290*'Assumptions'!$B$10)</x:f>
        <x:v>0</x:v>
      </x:c>
      <x:c r="J290" s="337" t="n">
        <x:f>IF(D290="",0,G290-I290)</x:f>
        <x:v>0</x:v>
      </x:c>
      <x:c r="K290" s="331" t="n">
        <x:f>IF(G290=0,0,J290/G290)</x:f>
        <x:v>0</x:v>
      </x:c>
      <x:c r="L290" s="343" t="n">
        <x:f>IF(D290="",0,J290-I290*'Assumptions'!$B$11)</x:f>
        <x:v>0</x:v>
      </x:c>
      <x:c r="M290" s="80"/>
      <x:c r="N290" s="81"/>
    </x:row>
    <x:row r="291">
      <x:c r="A291" s="325"/>
      <x:c r="B291" s="328"/>
      <x:c r="C291" s="75"/>
      <x:c r="D291" s="81"/>
      <x:c r="E291" s="93" t="n">
        <x:f>IFERROR(VLOOKUP(D291,'Assumptions'!$A$19:$C$23,3,FALSE),0)</x:f>
        <x:v>0</x:v>
      </x:c>
      <x:c r="F291" s="94"/>
      <x:c r="G291" s="93" t="n">
        <x:f>IF(D291="",0,E291+F291)</x:f>
        <x:v>0</x:v>
      </x:c>
      <x:c r="H291" s="98" t="n">
        <x:f>IFERROR(VLOOKUP(D291,'Assumptions'!$A$19:$C$23,2,FALSE),0)</x:f>
        <x:v>0</x:v>
      </x:c>
      <x:c r="I291" s="93" t="n">
        <x:f>IF(D291="",0,H291*'Assumptions'!$B$10)</x:f>
        <x:v>0</x:v>
      </x:c>
      <x:c r="J291" s="337" t="n">
        <x:f>IF(D291="",0,G291-I291)</x:f>
        <x:v>0</x:v>
      </x:c>
      <x:c r="K291" s="331" t="n">
        <x:f>IF(G291=0,0,J291/G291)</x:f>
        <x:v>0</x:v>
      </x:c>
      <x:c r="L291" s="343" t="n">
        <x:f>IF(D291="",0,J291-I291*'Assumptions'!$B$11)</x:f>
        <x:v>0</x:v>
      </x:c>
      <x:c r="M291" s="80"/>
      <x:c r="N291" s="81"/>
    </x:row>
    <x:row r="292">
      <x:c r="A292" s="325"/>
      <x:c r="B292" s="328"/>
      <x:c r="C292" s="75"/>
      <x:c r="D292" s="81"/>
      <x:c r="E292" s="93" t="n">
        <x:f>IFERROR(VLOOKUP(D292,'Assumptions'!$A$19:$C$23,3,FALSE),0)</x:f>
        <x:v>0</x:v>
      </x:c>
      <x:c r="F292" s="94"/>
      <x:c r="G292" s="93" t="n">
        <x:f>IF(D292="",0,E292+F292)</x:f>
        <x:v>0</x:v>
      </x:c>
      <x:c r="H292" s="98" t="n">
        <x:f>IFERROR(VLOOKUP(D292,'Assumptions'!$A$19:$C$23,2,FALSE),0)</x:f>
        <x:v>0</x:v>
      </x:c>
      <x:c r="I292" s="93" t="n">
        <x:f>IF(D292="",0,H292*'Assumptions'!$B$10)</x:f>
        <x:v>0</x:v>
      </x:c>
      <x:c r="J292" s="337" t="n">
        <x:f>IF(D292="",0,G292-I292)</x:f>
        <x:v>0</x:v>
      </x:c>
      <x:c r="K292" s="331" t="n">
        <x:f>IF(G292=0,0,J292/G292)</x:f>
        <x:v>0</x:v>
      </x:c>
      <x:c r="L292" s="343" t="n">
        <x:f>IF(D292="",0,J292-I292*'Assumptions'!$B$11)</x:f>
        <x:v>0</x:v>
      </x:c>
      <x:c r="M292" s="80"/>
      <x:c r="N292" s="81"/>
    </x:row>
    <x:row r="293">
      <x:c r="A293" s="325"/>
      <x:c r="B293" s="328"/>
      <x:c r="C293" s="75"/>
      <x:c r="D293" s="81"/>
      <x:c r="E293" s="93" t="n">
        <x:f>IFERROR(VLOOKUP(D293,'Assumptions'!$A$19:$C$23,3,FALSE),0)</x:f>
        <x:v>0</x:v>
      </x:c>
      <x:c r="F293" s="94"/>
      <x:c r="G293" s="93" t="n">
        <x:f>IF(D293="",0,E293+F293)</x:f>
        <x:v>0</x:v>
      </x:c>
      <x:c r="H293" s="98" t="n">
        <x:f>IFERROR(VLOOKUP(D293,'Assumptions'!$A$19:$C$23,2,FALSE),0)</x:f>
        <x:v>0</x:v>
      </x:c>
      <x:c r="I293" s="93" t="n">
        <x:f>IF(D293="",0,H293*'Assumptions'!$B$10)</x:f>
        <x:v>0</x:v>
      </x:c>
      <x:c r="J293" s="337" t="n">
        <x:f>IF(D293="",0,G293-I293)</x:f>
        <x:v>0</x:v>
      </x:c>
      <x:c r="K293" s="331" t="n">
        <x:f>IF(G293=0,0,J293/G293)</x:f>
        <x:v>0</x:v>
      </x:c>
      <x:c r="L293" s="343" t="n">
        <x:f>IF(D293="",0,J293-I293*'Assumptions'!$B$11)</x:f>
        <x:v>0</x:v>
      </x:c>
      <x:c r="M293" s="80"/>
      <x:c r="N293" s="81"/>
    </x:row>
    <x:row r="294">
      <x:c r="A294" s="325"/>
      <x:c r="B294" s="328"/>
      <x:c r="C294" s="75"/>
      <x:c r="D294" s="81"/>
      <x:c r="E294" s="93" t="n">
        <x:f>IFERROR(VLOOKUP(D294,'Assumptions'!$A$19:$C$23,3,FALSE),0)</x:f>
        <x:v>0</x:v>
      </x:c>
      <x:c r="F294" s="94"/>
      <x:c r="G294" s="93" t="n">
        <x:f>IF(D294="",0,E294+F294)</x:f>
        <x:v>0</x:v>
      </x:c>
      <x:c r="H294" s="98" t="n">
        <x:f>IFERROR(VLOOKUP(D294,'Assumptions'!$A$19:$C$23,2,FALSE),0)</x:f>
        <x:v>0</x:v>
      </x:c>
      <x:c r="I294" s="93" t="n">
        <x:f>IF(D294="",0,H294*'Assumptions'!$B$10)</x:f>
        <x:v>0</x:v>
      </x:c>
      <x:c r="J294" s="337" t="n">
        <x:f>IF(D294="",0,G294-I294)</x:f>
        <x:v>0</x:v>
      </x:c>
      <x:c r="K294" s="331" t="n">
        <x:f>IF(G294=0,0,J294/G294)</x:f>
        <x:v>0</x:v>
      </x:c>
      <x:c r="L294" s="343" t="n">
        <x:f>IF(D294="",0,J294-I294*'Assumptions'!$B$11)</x:f>
        <x:v>0</x:v>
      </x:c>
      <x:c r="M294" s="80"/>
      <x:c r="N294" s="81"/>
    </x:row>
    <x:row r="295">
      <x:c r="A295" s="325"/>
      <x:c r="B295" s="328"/>
      <x:c r="C295" s="75"/>
      <x:c r="D295" s="81"/>
      <x:c r="E295" s="93" t="n">
        <x:f>IFERROR(VLOOKUP(D295,'Assumptions'!$A$19:$C$23,3,FALSE),0)</x:f>
        <x:v>0</x:v>
      </x:c>
      <x:c r="F295" s="94"/>
      <x:c r="G295" s="93" t="n">
        <x:f>IF(D295="",0,E295+F295)</x:f>
        <x:v>0</x:v>
      </x:c>
      <x:c r="H295" s="98" t="n">
        <x:f>IFERROR(VLOOKUP(D295,'Assumptions'!$A$19:$C$23,2,FALSE),0)</x:f>
        <x:v>0</x:v>
      </x:c>
      <x:c r="I295" s="93" t="n">
        <x:f>IF(D295="",0,H295*'Assumptions'!$B$10)</x:f>
        <x:v>0</x:v>
      </x:c>
      <x:c r="J295" s="337" t="n">
        <x:f>IF(D295="",0,G295-I295)</x:f>
        <x:v>0</x:v>
      </x:c>
      <x:c r="K295" s="331" t="n">
        <x:f>IF(G295=0,0,J295/G295)</x:f>
        <x:v>0</x:v>
      </x:c>
      <x:c r="L295" s="343" t="n">
        <x:f>IF(D295="",0,J295-I295*'Assumptions'!$B$11)</x:f>
        <x:v>0</x:v>
      </x:c>
      <x:c r="M295" s="80"/>
      <x:c r="N295" s="81"/>
    </x:row>
    <x:row r="296">
      <x:c r="A296" s="325"/>
      <x:c r="B296" s="328"/>
      <x:c r="C296" s="75"/>
      <x:c r="D296" s="81"/>
      <x:c r="E296" s="93" t="n">
        <x:f>IFERROR(VLOOKUP(D296,'Assumptions'!$A$19:$C$23,3,FALSE),0)</x:f>
        <x:v>0</x:v>
      </x:c>
      <x:c r="F296" s="94"/>
      <x:c r="G296" s="93" t="n">
        <x:f>IF(D296="",0,E296+F296)</x:f>
        <x:v>0</x:v>
      </x:c>
      <x:c r="H296" s="98" t="n">
        <x:f>IFERROR(VLOOKUP(D296,'Assumptions'!$A$19:$C$23,2,FALSE),0)</x:f>
        <x:v>0</x:v>
      </x:c>
      <x:c r="I296" s="93" t="n">
        <x:f>IF(D296="",0,H296*'Assumptions'!$B$10)</x:f>
        <x:v>0</x:v>
      </x:c>
      <x:c r="J296" s="337" t="n">
        <x:f>IF(D296="",0,G296-I296)</x:f>
        <x:v>0</x:v>
      </x:c>
      <x:c r="K296" s="331" t="n">
        <x:f>IF(G296=0,0,J296/G296)</x:f>
        <x:v>0</x:v>
      </x:c>
      <x:c r="L296" s="343" t="n">
        <x:f>IF(D296="",0,J296-I296*'Assumptions'!$B$11)</x:f>
        <x:v>0</x:v>
      </x:c>
      <x:c r="M296" s="80"/>
      <x:c r="N296" s="81"/>
    </x:row>
    <x:row r="297">
      <x:c r="A297" s="325"/>
      <x:c r="B297" s="328"/>
      <x:c r="C297" s="75"/>
      <x:c r="D297" s="81"/>
      <x:c r="E297" s="93" t="n">
        <x:f>IFERROR(VLOOKUP(D297,'Assumptions'!$A$19:$C$23,3,FALSE),0)</x:f>
        <x:v>0</x:v>
      </x:c>
      <x:c r="F297" s="94"/>
      <x:c r="G297" s="93" t="n">
        <x:f>IF(D297="",0,E297+F297)</x:f>
        <x:v>0</x:v>
      </x:c>
      <x:c r="H297" s="98" t="n">
        <x:f>IFERROR(VLOOKUP(D297,'Assumptions'!$A$19:$C$23,2,FALSE),0)</x:f>
        <x:v>0</x:v>
      </x:c>
      <x:c r="I297" s="93" t="n">
        <x:f>IF(D297="",0,H297*'Assumptions'!$B$10)</x:f>
        <x:v>0</x:v>
      </x:c>
      <x:c r="J297" s="337" t="n">
        <x:f>IF(D297="",0,G297-I297)</x:f>
        <x:v>0</x:v>
      </x:c>
      <x:c r="K297" s="331" t="n">
        <x:f>IF(G297=0,0,J297/G297)</x:f>
        <x:v>0</x:v>
      </x:c>
      <x:c r="L297" s="343" t="n">
        <x:f>IF(D297="",0,J297-I297*'Assumptions'!$B$11)</x:f>
        <x:v>0</x:v>
      </x:c>
      <x:c r="M297" s="80"/>
      <x:c r="N297" s="81"/>
    </x:row>
    <x:row r="298">
      <x:c r="A298" s="325"/>
      <x:c r="B298" s="328"/>
      <x:c r="C298" s="75"/>
      <x:c r="D298" s="81"/>
      <x:c r="E298" s="93" t="n">
        <x:f>IFERROR(VLOOKUP(D298,'Assumptions'!$A$19:$C$23,3,FALSE),0)</x:f>
        <x:v>0</x:v>
      </x:c>
      <x:c r="F298" s="94"/>
      <x:c r="G298" s="93" t="n">
        <x:f>IF(D298="",0,E298+F298)</x:f>
        <x:v>0</x:v>
      </x:c>
      <x:c r="H298" s="98" t="n">
        <x:f>IFERROR(VLOOKUP(D298,'Assumptions'!$A$19:$C$23,2,FALSE),0)</x:f>
        <x:v>0</x:v>
      </x:c>
      <x:c r="I298" s="93" t="n">
        <x:f>IF(D298="",0,H298*'Assumptions'!$B$10)</x:f>
        <x:v>0</x:v>
      </x:c>
      <x:c r="J298" s="337" t="n">
        <x:f>IF(D298="",0,G298-I298)</x:f>
        <x:v>0</x:v>
      </x:c>
      <x:c r="K298" s="331" t="n">
        <x:f>IF(G298=0,0,J298/G298)</x:f>
        <x:v>0</x:v>
      </x:c>
      <x:c r="L298" s="343" t="n">
        <x:f>IF(D298="",0,J298-I298*'Assumptions'!$B$11)</x:f>
        <x:v>0</x:v>
      </x:c>
      <x:c r="M298" s="80"/>
      <x:c r="N298" s="81"/>
    </x:row>
    <x:row r="299">
      <x:c r="A299" s="325"/>
      <x:c r="B299" s="328"/>
      <x:c r="C299" s="75"/>
      <x:c r="D299" s="81"/>
      <x:c r="E299" s="93" t="n">
        <x:f>IFERROR(VLOOKUP(D299,'Assumptions'!$A$19:$C$23,3,FALSE),0)</x:f>
        <x:v>0</x:v>
      </x:c>
      <x:c r="F299" s="94"/>
      <x:c r="G299" s="93" t="n">
        <x:f>IF(D299="",0,E299+F299)</x:f>
        <x:v>0</x:v>
      </x:c>
      <x:c r="H299" s="98" t="n">
        <x:f>IFERROR(VLOOKUP(D299,'Assumptions'!$A$19:$C$23,2,FALSE),0)</x:f>
        <x:v>0</x:v>
      </x:c>
      <x:c r="I299" s="93" t="n">
        <x:f>IF(D299="",0,H299*'Assumptions'!$B$10)</x:f>
        <x:v>0</x:v>
      </x:c>
      <x:c r="J299" s="337" t="n">
        <x:f>IF(D299="",0,G299-I299)</x:f>
        <x:v>0</x:v>
      </x:c>
      <x:c r="K299" s="331" t="n">
        <x:f>IF(G299=0,0,J299/G299)</x:f>
        <x:v>0</x:v>
      </x:c>
      <x:c r="L299" s="343" t="n">
        <x:f>IF(D299="",0,J299-I299*'Assumptions'!$B$11)</x:f>
        <x:v>0</x:v>
      </x:c>
      <x:c r="M299" s="80"/>
      <x:c r="N299" s="81"/>
    </x:row>
    <x:row r="300">
      <x:c r="A300" s="325"/>
      <x:c r="B300" s="328"/>
      <x:c r="C300" s="75"/>
      <x:c r="D300" s="81"/>
      <x:c r="E300" s="93" t="n">
        <x:f>IFERROR(VLOOKUP(D300,'Assumptions'!$A$19:$C$23,3,FALSE),0)</x:f>
        <x:v>0</x:v>
      </x:c>
      <x:c r="F300" s="94"/>
      <x:c r="G300" s="93" t="n">
        <x:f>IF(D300="",0,E300+F300)</x:f>
        <x:v>0</x:v>
      </x:c>
      <x:c r="H300" s="98" t="n">
        <x:f>IFERROR(VLOOKUP(D300,'Assumptions'!$A$19:$C$23,2,FALSE),0)</x:f>
        <x:v>0</x:v>
      </x:c>
      <x:c r="I300" s="93" t="n">
        <x:f>IF(D300="",0,H300*'Assumptions'!$B$10)</x:f>
        <x:v>0</x:v>
      </x:c>
      <x:c r="J300" s="337" t="n">
        <x:f>IF(D300="",0,G300-I300)</x:f>
        <x:v>0</x:v>
      </x:c>
      <x:c r="K300" s="331" t="n">
        <x:f>IF(G300=0,0,J300/G300)</x:f>
        <x:v>0</x:v>
      </x:c>
      <x:c r="L300" s="343" t="n">
        <x:f>IF(D300="",0,J300-I300*'Assumptions'!$B$11)</x:f>
        <x:v>0</x:v>
      </x:c>
      <x:c r="M300" s="80"/>
      <x:c r="N300" s="81"/>
    </x:row>
    <x:row r="301">
      <x:c r="A301" s="325"/>
      <x:c r="B301" s="328"/>
      <x:c r="C301" s="75"/>
      <x:c r="D301" s="81"/>
      <x:c r="E301" s="93" t="n">
        <x:f>IFERROR(VLOOKUP(D301,'Assumptions'!$A$19:$C$23,3,FALSE),0)</x:f>
        <x:v>0</x:v>
      </x:c>
      <x:c r="F301" s="94"/>
      <x:c r="G301" s="93" t="n">
        <x:f>IF(D301="",0,E301+F301)</x:f>
        <x:v>0</x:v>
      </x:c>
      <x:c r="H301" s="98" t="n">
        <x:f>IFERROR(VLOOKUP(D301,'Assumptions'!$A$19:$C$23,2,FALSE),0)</x:f>
        <x:v>0</x:v>
      </x:c>
      <x:c r="I301" s="93" t="n">
        <x:f>IF(D301="",0,H301*'Assumptions'!$B$10)</x:f>
        <x:v>0</x:v>
      </x:c>
      <x:c r="J301" s="337" t="n">
        <x:f>IF(D301="",0,G301-I301)</x:f>
        <x:v>0</x:v>
      </x:c>
      <x:c r="K301" s="331" t="n">
        <x:f>IF(G301=0,0,J301/G301)</x:f>
        <x:v>0</x:v>
      </x:c>
      <x:c r="L301" s="343" t="n">
        <x:f>IF(D301="",0,J301-I301*'Assumptions'!$B$11)</x:f>
        <x:v>0</x:v>
      </x:c>
      <x:c r="M301" s="80"/>
      <x:c r="N301" s="81"/>
    </x:row>
    <x:row r="302">
      <x:c r="A302" s="325"/>
      <x:c r="B302" s="328"/>
      <x:c r="C302" s="75"/>
      <x:c r="D302" s="81"/>
      <x:c r="E302" s="93" t="n">
        <x:f>IFERROR(VLOOKUP(D302,'Assumptions'!$A$19:$C$23,3,FALSE),0)</x:f>
        <x:v>0</x:v>
      </x:c>
      <x:c r="F302" s="94"/>
      <x:c r="G302" s="93" t="n">
        <x:f>IF(D302="",0,E302+F302)</x:f>
        <x:v>0</x:v>
      </x:c>
      <x:c r="H302" s="98" t="n">
        <x:f>IFERROR(VLOOKUP(D302,'Assumptions'!$A$19:$C$23,2,FALSE),0)</x:f>
        <x:v>0</x:v>
      </x:c>
      <x:c r="I302" s="93" t="n">
        <x:f>IF(D302="",0,H302*'Assumptions'!$B$10)</x:f>
        <x:v>0</x:v>
      </x:c>
      <x:c r="J302" s="337" t="n">
        <x:f>IF(D302="",0,G302-I302)</x:f>
        <x:v>0</x:v>
      </x:c>
      <x:c r="K302" s="331" t="n">
        <x:f>IF(G302=0,0,J302/G302)</x:f>
        <x:v>0</x:v>
      </x:c>
      <x:c r="L302" s="343" t="n">
        <x:f>IF(D302="",0,J302-I302*'Assumptions'!$B$11)</x:f>
        <x:v>0</x:v>
      </x:c>
      <x:c r="M302" s="80"/>
      <x:c r="N302" s="81"/>
    </x:row>
    <x:row r="303">
      <x:c r="A303" s="325"/>
      <x:c r="B303" s="328"/>
      <x:c r="C303" s="75"/>
      <x:c r="D303" s="81"/>
      <x:c r="E303" s="93" t="n">
        <x:f>IFERROR(VLOOKUP(D303,'Assumptions'!$A$19:$C$23,3,FALSE),0)</x:f>
        <x:v>0</x:v>
      </x:c>
      <x:c r="F303" s="94"/>
      <x:c r="G303" s="93" t="n">
        <x:f>IF(D303="",0,E303+F303)</x:f>
        <x:v>0</x:v>
      </x:c>
      <x:c r="H303" s="98" t="n">
        <x:f>IFERROR(VLOOKUP(D303,'Assumptions'!$A$19:$C$23,2,FALSE),0)</x:f>
        <x:v>0</x:v>
      </x:c>
      <x:c r="I303" s="93" t="n">
        <x:f>IF(D303="",0,H303*'Assumptions'!$B$10)</x:f>
        <x:v>0</x:v>
      </x:c>
      <x:c r="J303" s="337" t="n">
        <x:f>IF(D303="",0,G303-I303)</x:f>
        <x:v>0</x:v>
      </x:c>
      <x:c r="K303" s="331" t="n">
        <x:f>IF(G303=0,0,J303/G303)</x:f>
        <x:v>0</x:v>
      </x:c>
      <x:c r="L303" s="343" t="n">
        <x:f>IF(D303="",0,J303-I303*'Assumptions'!$B$11)</x:f>
        <x:v>0</x:v>
      </x:c>
      <x:c r="M303" s="80"/>
      <x:c r="N303" s="81"/>
    </x:row>
    <x:row r="304">
      <x:c r="A304" s="325"/>
      <x:c r="B304" s="328"/>
      <x:c r="C304" s="75"/>
      <x:c r="D304" s="81"/>
      <x:c r="E304" s="93" t="n">
        <x:f>IFERROR(VLOOKUP(D304,'Assumptions'!$A$19:$C$23,3,FALSE),0)</x:f>
        <x:v>0</x:v>
      </x:c>
      <x:c r="F304" s="94"/>
      <x:c r="G304" s="93" t="n">
        <x:f>IF(D304="",0,E304+F304)</x:f>
        <x:v>0</x:v>
      </x:c>
      <x:c r="H304" s="98" t="n">
        <x:f>IFERROR(VLOOKUP(D304,'Assumptions'!$A$19:$C$23,2,FALSE),0)</x:f>
        <x:v>0</x:v>
      </x:c>
      <x:c r="I304" s="93" t="n">
        <x:f>IF(D304="",0,H304*'Assumptions'!$B$10)</x:f>
        <x:v>0</x:v>
      </x:c>
      <x:c r="J304" s="337" t="n">
        <x:f>IF(D304="",0,G304-I304)</x:f>
        <x:v>0</x:v>
      </x:c>
      <x:c r="K304" s="331" t="n">
        <x:f>IF(G304=0,0,J304/G304)</x:f>
        <x:v>0</x:v>
      </x:c>
      <x:c r="L304" s="343" t="n">
        <x:f>IF(D304="",0,J304-I304*'Assumptions'!$B$11)</x:f>
        <x:v>0</x:v>
      </x:c>
      <x:c r="M304" s="80"/>
      <x:c r="N304" s="81"/>
    </x:row>
    <x:row r="305">
      <x:c r="A305" s="325"/>
      <x:c r="B305" s="328"/>
      <x:c r="C305" s="75"/>
      <x:c r="D305" s="81"/>
      <x:c r="E305" s="93" t="n">
        <x:f>IFERROR(VLOOKUP(D305,'Assumptions'!$A$19:$C$23,3,FALSE),0)</x:f>
        <x:v>0</x:v>
      </x:c>
      <x:c r="F305" s="94"/>
      <x:c r="G305" s="93" t="n">
        <x:f>IF(D305="",0,E305+F305)</x:f>
        <x:v>0</x:v>
      </x:c>
      <x:c r="H305" s="98" t="n">
        <x:f>IFERROR(VLOOKUP(D305,'Assumptions'!$A$19:$C$23,2,FALSE),0)</x:f>
        <x:v>0</x:v>
      </x:c>
      <x:c r="I305" s="93" t="n">
        <x:f>IF(D305="",0,H305*'Assumptions'!$B$10)</x:f>
        <x:v>0</x:v>
      </x:c>
      <x:c r="J305" s="337" t="n">
        <x:f>IF(D305="",0,G305-I305)</x:f>
        <x:v>0</x:v>
      </x:c>
      <x:c r="K305" s="331" t="n">
        <x:f>IF(G305=0,0,J305/G305)</x:f>
        <x:v>0</x:v>
      </x:c>
      <x:c r="L305" s="343" t="n">
        <x:f>IF(D305="",0,J305-I305*'Assumptions'!$B$11)</x:f>
        <x:v>0</x:v>
      </x:c>
      <x:c r="M305" s="80"/>
      <x:c r="N305" s="81"/>
    </x:row>
    <x:row r="306">
      <x:c r="A306" s="325"/>
      <x:c r="B306" s="328"/>
      <x:c r="C306" s="75"/>
      <x:c r="D306" s="81"/>
      <x:c r="E306" s="93" t="n">
        <x:f>IFERROR(VLOOKUP(D306,'Assumptions'!$A$19:$C$23,3,FALSE),0)</x:f>
        <x:v>0</x:v>
      </x:c>
      <x:c r="F306" s="94"/>
      <x:c r="G306" s="93" t="n">
        <x:f>IF(D306="",0,E306+F306)</x:f>
        <x:v>0</x:v>
      </x:c>
      <x:c r="H306" s="98" t="n">
        <x:f>IFERROR(VLOOKUP(D306,'Assumptions'!$A$19:$C$23,2,FALSE),0)</x:f>
        <x:v>0</x:v>
      </x:c>
      <x:c r="I306" s="93" t="n">
        <x:f>IF(D306="",0,H306*'Assumptions'!$B$10)</x:f>
        <x:v>0</x:v>
      </x:c>
      <x:c r="J306" s="337" t="n">
        <x:f>IF(D306="",0,G306-I306)</x:f>
        <x:v>0</x:v>
      </x:c>
      <x:c r="K306" s="331" t="n">
        <x:f>IF(G306=0,0,J306/G306)</x:f>
        <x:v>0</x:v>
      </x:c>
      <x:c r="L306" s="343" t="n">
        <x:f>IF(D306="",0,J306-I306*'Assumptions'!$B$11)</x:f>
        <x:v>0</x:v>
      </x:c>
      <x:c r="M306" s="80"/>
      <x:c r="N306" s="81"/>
    </x:row>
    <x:row r="307">
      <x:c r="A307" s="325"/>
      <x:c r="B307" s="328"/>
      <x:c r="C307" s="75"/>
      <x:c r="D307" s="81"/>
      <x:c r="E307" s="93" t="n">
        <x:f>IFERROR(VLOOKUP(D307,'Assumptions'!$A$19:$C$23,3,FALSE),0)</x:f>
        <x:v>0</x:v>
      </x:c>
      <x:c r="F307" s="94"/>
      <x:c r="G307" s="93" t="n">
        <x:f>IF(D307="",0,E307+F307)</x:f>
        <x:v>0</x:v>
      </x:c>
      <x:c r="H307" s="98" t="n">
        <x:f>IFERROR(VLOOKUP(D307,'Assumptions'!$A$19:$C$23,2,FALSE),0)</x:f>
        <x:v>0</x:v>
      </x:c>
      <x:c r="I307" s="93" t="n">
        <x:f>IF(D307="",0,H307*'Assumptions'!$B$10)</x:f>
        <x:v>0</x:v>
      </x:c>
      <x:c r="J307" s="337" t="n">
        <x:f>IF(D307="",0,G307-I307)</x:f>
        <x:v>0</x:v>
      </x:c>
      <x:c r="K307" s="331" t="n">
        <x:f>IF(G307=0,0,J307/G307)</x:f>
        <x:v>0</x:v>
      </x:c>
      <x:c r="L307" s="343" t="n">
        <x:f>IF(D307="",0,J307-I307*'Assumptions'!$B$11)</x:f>
        <x:v>0</x:v>
      </x:c>
      <x:c r="M307" s="80"/>
      <x:c r="N307" s="81"/>
    </x:row>
    <x:row r="308">
      <x:c r="A308" s="325"/>
      <x:c r="B308" s="328"/>
      <x:c r="C308" s="75"/>
      <x:c r="D308" s="81"/>
      <x:c r="E308" s="93" t="n">
        <x:f>IFERROR(VLOOKUP(D308,'Assumptions'!$A$19:$C$23,3,FALSE),0)</x:f>
        <x:v>0</x:v>
      </x:c>
      <x:c r="F308" s="94"/>
      <x:c r="G308" s="93" t="n">
        <x:f>IF(D308="",0,E308+F308)</x:f>
        <x:v>0</x:v>
      </x:c>
      <x:c r="H308" s="98" t="n">
        <x:f>IFERROR(VLOOKUP(D308,'Assumptions'!$A$19:$C$23,2,FALSE),0)</x:f>
        <x:v>0</x:v>
      </x:c>
      <x:c r="I308" s="93" t="n">
        <x:f>IF(D308="",0,H308*'Assumptions'!$B$10)</x:f>
        <x:v>0</x:v>
      </x:c>
      <x:c r="J308" s="337" t="n">
        <x:f>IF(D308="",0,G308-I308)</x:f>
        <x:v>0</x:v>
      </x:c>
      <x:c r="K308" s="331" t="n">
        <x:f>IF(G308=0,0,J308/G308)</x:f>
        <x:v>0</x:v>
      </x:c>
      <x:c r="L308" s="343" t="n">
        <x:f>IF(D308="",0,J308-I308*'Assumptions'!$B$11)</x:f>
        <x:v>0</x:v>
      </x:c>
      <x:c r="M308" s="80"/>
      <x:c r="N308" s="81"/>
    </x:row>
    <x:row r="309">
      <x:c r="A309" s="325"/>
      <x:c r="B309" s="328"/>
      <x:c r="C309" s="75"/>
      <x:c r="D309" s="81"/>
      <x:c r="E309" s="93" t="n">
        <x:f>IFERROR(VLOOKUP(D309,'Assumptions'!$A$19:$C$23,3,FALSE),0)</x:f>
        <x:v>0</x:v>
      </x:c>
      <x:c r="F309" s="94"/>
      <x:c r="G309" s="93" t="n">
        <x:f>IF(D309="",0,E309+F309)</x:f>
        <x:v>0</x:v>
      </x:c>
      <x:c r="H309" s="98" t="n">
        <x:f>IFERROR(VLOOKUP(D309,'Assumptions'!$A$19:$C$23,2,FALSE),0)</x:f>
        <x:v>0</x:v>
      </x:c>
      <x:c r="I309" s="93" t="n">
        <x:f>IF(D309="",0,H309*'Assumptions'!$B$10)</x:f>
        <x:v>0</x:v>
      </x:c>
      <x:c r="J309" s="337" t="n">
        <x:f>IF(D309="",0,G309-I309)</x:f>
        <x:v>0</x:v>
      </x:c>
      <x:c r="K309" s="331" t="n">
        <x:f>IF(G309=0,0,J309/G309)</x:f>
        <x:v>0</x:v>
      </x:c>
      <x:c r="L309" s="343" t="n">
        <x:f>IF(D309="",0,J309-I309*'Assumptions'!$B$11)</x:f>
        <x:v>0</x:v>
      </x:c>
      <x:c r="M309" s="80"/>
      <x:c r="N309" s="81"/>
    </x:row>
    <x:row r="310">
      <x:c r="A310" s="325"/>
      <x:c r="B310" s="328"/>
      <x:c r="C310" s="75"/>
      <x:c r="D310" s="81"/>
      <x:c r="E310" s="93" t="n">
        <x:f>IFERROR(VLOOKUP(D310,'Assumptions'!$A$19:$C$23,3,FALSE),0)</x:f>
        <x:v>0</x:v>
      </x:c>
      <x:c r="F310" s="94"/>
      <x:c r="G310" s="93" t="n">
        <x:f>IF(D310="",0,E310+F310)</x:f>
        <x:v>0</x:v>
      </x:c>
      <x:c r="H310" s="98" t="n">
        <x:f>IFERROR(VLOOKUP(D310,'Assumptions'!$A$19:$C$23,2,FALSE),0)</x:f>
        <x:v>0</x:v>
      </x:c>
      <x:c r="I310" s="93" t="n">
        <x:f>IF(D310="",0,H310*'Assumptions'!$B$10)</x:f>
        <x:v>0</x:v>
      </x:c>
      <x:c r="J310" s="337" t="n">
        <x:f>IF(D310="",0,G310-I310)</x:f>
        <x:v>0</x:v>
      </x:c>
      <x:c r="K310" s="331" t="n">
        <x:f>IF(G310=0,0,J310/G310)</x:f>
        <x:v>0</x:v>
      </x:c>
      <x:c r="L310" s="343" t="n">
        <x:f>IF(D310="",0,J310-I310*'Assumptions'!$B$11)</x:f>
        <x:v>0</x:v>
      </x:c>
      <x:c r="M310" s="80"/>
      <x:c r="N310" s="81"/>
    </x:row>
    <x:row r="311">
      <x:c r="A311" s="325"/>
      <x:c r="B311" s="328"/>
      <x:c r="C311" s="75"/>
      <x:c r="D311" s="81"/>
      <x:c r="E311" s="93" t="n">
        <x:f>IFERROR(VLOOKUP(D311,'Assumptions'!$A$19:$C$23,3,FALSE),0)</x:f>
        <x:v>0</x:v>
      </x:c>
      <x:c r="F311" s="94"/>
      <x:c r="G311" s="93" t="n">
        <x:f>IF(D311="",0,E311+F311)</x:f>
        <x:v>0</x:v>
      </x:c>
      <x:c r="H311" s="98" t="n">
        <x:f>IFERROR(VLOOKUP(D311,'Assumptions'!$A$19:$C$23,2,FALSE),0)</x:f>
        <x:v>0</x:v>
      </x:c>
      <x:c r="I311" s="93" t="n">
        <x:f>IF(D311="",0,H311*'Assumptions'!$B$10)</x:f>
        <x:v>0</x:v>
      </x:c>
      <x:c r="J311" s="337" t="n">
        <x:f>IF(D311="",0,G311-I311)</x:f>
        <x:v>0</x:v>
      </x:c>
      <x:c r="K311" s="331" t="n">
        <x:f>IF(G311=0,0,J311/G311)</x:f>
        <x:v>0</x:v>
      </x:c>
      <x:c r="L311" s="343" t="n">
        <x:f>IF(D311="",0,J311-I311*'Assumptions'!$B$11)</x:f>
        <x:v>0</x:v>
      </x:c>
      <x:c r="M311" s="80"/>
      <x:c r="N311" s="81"/>
    </x:row>
    <x:row r="312">
      <x:c r="A312" s="325"/>
      <x:c r="B312" s="328"/>
      <x:c r="C312" s="75"/>
      <x:c r="D312" s="81"/>
      <x:c r="E312" s="93" t="n">
        <x:f>IFERROR(VLOOKUP(D312,'Assumptions'!$A$19:$C$23,3,FALSE),0)</x:f>
        <x:v>0</x:v>
      </x:c>
      <x:c r="F312" s="94"/>
      <x:c r="G312" s="93" t="n">
        <x:f>IF(D312="",0,E312+F312)</x:f>
        <x:v>0</x:v>
      </x:c>
      <x:c r="H312" s="98" t="n">
        <x:f>IFERROR(VLOOKUP(D312,'Assumptions'!$A$19:$C$23,2,FALSE),0)</x:f>
        <x:v>0</x:v>
      </x:c>
      <x:c r="I312" s="93" t="n">
        <x:f>IF(D312="",0,H312*'Assumptions'!$B$10)</x:f>
        <x:v>0</x:v>
      </x:c>
      <x:c r="J312" s="337" t="n">
        <x:f>IF(D312="",0,G312-I312)</x:f>
        <x:v>0</x:v>
      </x:c>
      <x:c r="K312" s="331" t="n">
        <x:f>IF(G312=0,0,J312/G312)</x:f>
        <x:v>0</x:v>
      </x:c>
      <x:c r="L312" s="343" t="n">
        <x:f>IF(D312="",0,J312-I312*'Assumptions'!$B$11)</x:f>
        <x:v>0</x:v>
      </x:c>
      <x:c r="M312" s="80"/>
      <x:c r="N312" s="81"/>
    </x:row>
    <x:row r="313">
      <x:c r="A313" s="325"/>
      <x:c r="B313" s="328"/>
      <x:c r="C313" s="75"/>
      <x:c r="D313" s="81"/>
      <x:c r="E313" s="93" t="n">
        <x:f>IFERROR(VLOOKUP(D313,'Assumptions'!$A$19:$C$23,3,FALSE),0)</x:f>
        <x:v>0</x:v>
      </x:c>
      <x:c r="F313" s="94"/>
      <x:c r="G313" s="93" t="n">
        <x:f>IF(D313="",0,E313+F313)</x:f>
        <x:v>0</x:v>
      </x:c>
      <x:c r="H313" s="98" t="n">
        <x:f>IFERROR(VLOOKUP(D313,'Assumptions'!$A$19:$C$23,2,FALSE),0)</x:f>
        <x:v>0</x:v>
      </x:c>
      <x:c r="I313" s="93" t="n">
        <x:f>IF(D313="",0,H313*'Assumptions'!$B$10)</x:f>
        <x:v>0</x:v>
      </x:c>
      <x:c r="J313" s="337" t="n">
        <x:f>IF(D313="",0,G313-I313)</x:f>
        <x:v>0</x:v>
      </x:c>
      <x:c r="K313" s="331" t="n">
        <x:f>IF(G313=0,0,J313/G313)</x:f>
        <x:v>0</x:v>
      </x:c>
      <x:c r="L313" s="343" t="n">
        <x:f>IF(D313="",0,J313-I313*'Assumptions'!$B$11)</x:f>
        <x:v>0</x:v>
      </x:c>
      <x:c r="M313" s="80"/>
      <x:c r="N313" s="81"/>
    </x:row>
    <x:row r="314">
      <x:c r="A314" s="325"/>
      <x:c r="B314" s="328"/>
      <x:c r="C314" s="75"/>
      <x:c r="D314" s="81"/>
      <x:c r="E314" s="93" t="n">
        <x:f>IFERROR(VLOOKUP(D314,'Assumptions'!$A$19:$C$23,3,FALSE),0)</x:f>
        <x:v>0</x:v>
      </x:c>
      <x:c r="F314" s="94"/>
      <x:c r="G314" s="93" t="n">
        <x:f>IF(D314="",0,E314+F314)</x:f>
        <x:v>0</x:v>
      </x:c>
      <x:c r="H314" s="98" t="n">
        <x:f>IFERROR(VLOOKUP(D314,'Assumptions'!$A$19:$C$23,2,FALSE),0)</x:f>
        <x:v>0</x:v>
      </x:c>
      <x:c r="I314" s="93" t="n">
        <x:f>IF(D314="",0,H314*'Assumptions'!$B$10)</x:f>
        <x:v>0</x:v>
      </x:c>
      <x:c r="J314" s="337" t="n">
        <x:f>IF(D314="",0,G314-I314)</x:f>
        <x:v>0</x:v>
      </x:c>
      <x:c r="K314" s="331" t="n">
        <x:f>IF(G314=0,0,J314/G314)</x:f>
        <x:v>0</x:v>
      </x:c>
      <x:c r="L314" s="343" t="n">
        <x:f>IF(D314="",0,J314-I314*'Assumptions'!$B$11)</x:f>
        <x:v>0</x:v>
      </x:c>
      <x:c r="M314" s="80"/>
      <x:c r="N314" s="81"/>
    </x:row>
    <x:row r="315">
      <x:c r="A315" s="325"/>
      <x:c r="B315" s="328"/>
      <x:c r="C315" s="75"/>
      <x:c r="D315" s="81"/>
      <x:c r="E315" s="93" t="n">
        <x:f>IFERROR(VLOOKUP(D315,'Assumptions'!$A$19:$C$23,3,FALSE),0)</x:f>
        <x:v>0</x:v>
      </x:c>
      <x:c r="F315" s="94"/>
      <x:c r="G315" s="93" t="n">
        <x:f>IF(D315="",0,E315+F315)</x:f>
        <x:v>0</x:v>
      </x:c>
      <x:c r="H315" s="98" t="n">
        <x:f>IFERROR(VLOOKUP(D315,'Assumptions'!$A$19:$C$23,2,FALSE),0)</x:f>
        <x:v>0</x:v>
      </x:c>
      <x:c r="I315" s="93" t="n">
        <x:f>IF(D315="",0,H315*'Assumptions'!$B$10)</x:f>
        <x:v>0</x:v>
      </x:c>
      <x:c r="J315" s="337" t="n">
        <x:f>IF(D315="",0,G315-I315)</x:f>
        <x:v>0</x:v>
      </x:c>
      <x:c r="K315" s="331" t="n">
        <x:f>IF(G315=0,0,J315/G315)</x:f>
        <x:v>0</x:v>
      </x:c>
      <x:c r="L315" s="343" t="n">
        <x:f>IF(D315="",0,J315-I315*'Assumptions'!$B$11)</x:f>
        <x:v>0</x:v>
      </x:c>
      <x:c r="M315" s="80"/>
      <x:c r="N315" s="81"/>
    </x:row>
    <x:row r="316">
      <x:c r="A316" s="325"/>
      <x:c r="B316" s="328"/>
      <x:c r="C316" s="75"/>
      <x:c r="D316" s="81"/>
      <x:c r="E316" s="93" t="n">
        <x:f>IFERROR(VLOOKUP(D316,'Assumptions'!$A$19:$C$23,3,FALSE),0)</x:f>
        <x:v>0</x:v>
      </x:c>
      <x:c r="F316" s="94"/>
      <x:c r="G316" s="93" t="n">
        <x:f>IF(D316="",0,E316+F316)</x:f>
        <x:v>0</x:v>
      </x:c>
      <x:c r="H316" s="98" t="n">
        <x:f>IFERROR(VLOOKUP(D316,'Assumptions'!$A$19:$C$23,2,FALSE),0)</x:f>
        <x:v>0</x:v>
      </x:c>
      <x:c r="I316" s="93" t="n">
        <x:f>IF(D316="",0,H316*'Assumptions'!$B$10)</x:f>
        <x:v>0</x:v>
      </x:c>
      <x:c r="J316" s="337" t="n">
        <x:f>IF(D316="",0,G316-I316)</x:f>
        <x:v>0</x:v>
      </x:c>
      <x:c r="K316" s="331" t="n">
        <x:f>IF(G316=0,0,J316/G316)</x:f>
        <x:v>0</x:v>
      </x:c>
      <x:c r="L316" s="343" t="n">
        <x:f>IF(D316="",0,J316-I316*'Assumptions'!$B$11)</x:f>
        <x:v>0</x:v>
      </x:c>
      <x:c r="M316" s="80"/>
      <x:c r="N316" s="81"/>
    </x:row>
    <x:row r="317">
      <x:c r="A317" s="325"/>
      <x:c r="B317" s="328"/>
      <x:c r="C317" s="75"/>
      <x:c r="D317" s="81"/>
      <x:c r="E317" s="93" t="n">
        <x:f>IFERROR(VLOOKUP(D317,'Assumptions'!$A$19:$C$23,3,FALSE),0)</x:f>
        <x:v>0</x:v>
      </x:c>
      <x:c r="F317" s="94"/>
      <x:c r="G317" s="93" t="n">
        <x:f>IF(D317="",0,E317+F317)</x:f>
        <x:v>0</x:v>
      </x:c>
      <x:c r="H317" s="98" t="n">
        <x:f>IFERROR(VLOOKUP(D317,'Assumptions'!$A$19:$C$23,2,FALSE),0)</x:f>
        <x:v>0</x:v>
      </x:c>
      <x:c r="I317" s="93" t="n">
        <x:f>IF(D317="",0,H317*'Assumptions'!$B$10)</x:f>
        <x:v>0</x:v>
      </x:c>
      <x:c r="J317" s="337" t="n">
        <x:f>IF(D317="",0,G317-I317)</x:f>
        <x:v>0</x:v>
      </x:c>
      <x:c r="K317" s="331" t="n">
        <x:f>IF(G317=0,0,J317/G317)</x:f>
        <x:v>0</x:v>
      </x:c>
      <x:c r="L317" s="343" t="n">
        <x:f>IF(D317="",0,J317-I317*'Assumptions'!$B$11)</x:f>
        <x:v>0</x:v>
      </x:c>
      <x:c r="M317" s="80"/>
      <x:c r="N317" s="81"/>
    </x:row>
    <x:row r="318">
      <x:c r="A318" s="325"/>
      <x:c r="B318" s="328"/>
      <x:c r="C318" s="75"/>
      <x:c r="D318" s="81"/>
      <x:c r="E318" s="93" t="n">
        <x:f>IFERROR(VLOOKUP(D318,'Assumptions'!$A$19:$C$23,3,FALSE),0)</x:f>
        <x:v>0</x:v>
      </x:c>
      <x:c r="F318" s="94"/>
      <x:c r="G318" s="93" t="n">
        <x:f>IF(D318="",0,E318+F318)</x:f>
        <x:v>0</x:v>
      </x:c>
      <x:c r="H318" s="98" t="n">
        <x:f>IFERROR(VLOOKUP(D318,'Assumptions'!$A$19:$C$23,2,FALSE),0)</x:f>
        <x:v>0</x:v>
      </x:c>
      <x:c r="I318" s="93" t="n">
        <x:f>IF(D318="",0,H318*'Assumptions'!$B$10)</x:f>
        <x:v>0</x:v>
      </x:c>
      <x:c r="J318" s="337" t="n">
        <x:f>IF(D318="",0,G318-I318)</x:f>
        <x:v>0</x:v>
      </x:c>
      <x:c r="K318" s="331" t="n">
        <x:f>IF(G318=0,0,J318/G318)</x:f>
        <x:v>0</x:v>
      </x:c>
      <x:c r="L318" s="343" t="n">
        <x:f>IF(D318="",0,J318-I318*'Assumptions'!$B$11)</x:f>
        <x:v>0</x:v>
      </x:c>
      <x:c r="M318" s="80"/>
      <x:c r="N318" s="81"/>
    </x:row>
    <x:row r="319">
      <x:c r="A319" s="325"/>
      <x:c r="B319" s="328"/>
      <x:c r="C319" s="75"/>
      <x:c r="D319" s="81"/>
      <x:c r="E319" s="93" t="n">
        <x:f>IFERROR(VLOOKUP(D319,'Assumptions'!$A$19:$C$23,3,FALSE),0)</x:f>
        <x:v>0</x:v>
      </x:c>
      <x:c r="F319" s="94"/>
      <x:c r="G319" s="93" t="n">
        <x:f>IF(D319="",0,E319+F319)</x:f>
        <x:v>0</x:v>
      </x:c>
      <x:c r="H319" s="98" t="n">
        <x:f>IFERROR(VLOOKUP(D319,'Assumptions'!$A$19:$C$23,2,FALSE),0)</x:f>
        <x:v>0</x:v>
      </x:c>
      <x:c r="I319" s="93" t="n">
        <x:f>IF(D319="",0,H319*'Assumptions'!$B$10)</x:f>
        <x:v>0</x:v>
      </x:c>
      <x:c r="J319" s="337" t="n">
        <x:f>IF(D319="",0,G319-I319)</x:f>
        <x:v>0</x:v>
      </x:c>
      <x:c r="K319" s="331" t="n">
        <x:f>IF(G319=0,0,J319/G319)</x:f>
        <x:v>0</x:v>
      </x:c>
      <x:c r="L319" s="343" t="n">
        <x:f>IF(D319="",0,J319-I319*'Assumptions'!$B$11)</x:f>
        <x:v>0</x:v>
      </x:c>
      <x:c r="M319" s="80"/>
      <x:c r="N319" s="81"/>
    </x:row>
    <x:row r="320">
      <x:c r="A320" s="325"/>
      <x:c r="B320" s="328"/>
      <x:c r="C320" s="75"/>
      <x:c r="D320" s="81"/>
      <x:c r="E320" s="93" t="n">
        <x:f>IFERROR(VLOOKUP(D320,'Assumptions'!$A$19:$C$23,3,FALSE),0)</x:f>
        <x:v>0</x:v>
      </x:c>
      <x:c r="F320" s="94"/>
      <x:c r="G320" s="93" t="n">
        <x:f>IF(D320="",0,E320+F320)</x:f>
        <x:v>0</x:v>
      </x:c>
      <x:c r="H320" s="98" t="n">
        <x:f>IFERROR(VLOOKUP(D320,'Assumptions'!$A$19:$C$23,2,FALSE),0)</x:f>
        <x:v>0</x:v>
      </x:c>
      <x:c r="I320" s="93" t="n">
        <x:f>IF(D320="",0,H320*'Assumptions'!$B$10)</x:f>
        <x:v>0</x:v>
      </x:c>
      <x:c r="J320" s="337" t="n">
        <x:f>IF(D320="",0,G320-I320)</x:f>
        <x:v>0</x:v>
      </x:c>
      <x:c r="K320" s="331" t="n">
        <x:f>IF(G320=0,0,J320/G320)</x:f>
        <x:v>0</x:v>
      </x:c>
      <x:c r="L320" s="343" t="n">
        <x:f>IF(D320="",0,J320-I320*'Assumptions'!$B$11)</x:f>
        <x:v>0</x:v>
      </x:c>
      <x:c r="M320" s="80"/>
      <x:c r="N320" s="81"/>
    </x:row>
    <x:row r="321">
      <x:c r="A321" s="325"/>
      <x:c r="B321" s="328"/>
      <x:c r="C321" s="75"/>
      <x:c r="D321" s="81"/>
      <x:c r="E321" s="93" t="n">
        <x:f>IFERROR(VLOOKUP(D321,'Assumptions'!$A$19:$C$23,3,FALSE),0)</x:f>
        <x:v>0</x:v>
      </x:c>
      <x:c r="F321" s="94"/>
      <x:c r="G321" s="93" t="n">
        <x:f>IF(D321="",0,E321+F321)</x:f>
        <x:v>0</x:v>
      </x:c>
      <x:c r="H321" s="98" t="n">
        <x:f>IFERROR(VLOOKUP(D321,'Assumptions'!$A$19:$C$23,2,FALSE),0)</x:f>
        <x:v>0</x:v>
      </x:c>
      <x:c r="I321" s="93" t="n">
        <x:f>IF(D321="",0,H321*'Assumptions'!$B$10)</x:f>
        <x:v>0</x:v>
      </x:c>
      <x:c r="J321" s="337" t="n">
        <x:f>IF(D321="",0,G321-I321)</x:f>
        <x:v>0</x:v>
      </x:c>
      <x:c r="K321" s="331" t="n">
        <x:f>IF(G321=0,0,J321/G321)</x:f>
        <x:v>0</x:v>
      </x:c>
      <x:c r="L321" s="343" t="n">
        <x:f>IF(D321="",0,J321-I321*'Assumptions'!$B$11)</x:f>
        <x:v>0</x:v>
      </x:c>
      <x:c r="M321" s="80"/>
      <x:c r="N321" s="81"/>
    </x:row>
    <x:row r="322">
      <x:c r="A322" s="325"/>
      <x:c r="B322" s="328"/>
      <x:c r="C322" s="75"/>
      <x:c r="D322" s="81"/>
      <x:c r="E322" s="93" t="n">
        <x:f>IFERROR(VLOOKUP(D322,'Assumptions'!$A$19:$C$23,3,FALSE),0)</x:f>
        <x:v>0</x:v>
      </x:c>
      <x:c r="F322" s="94"/>
      <x:c r="G322" s="93" t="n">
        <x:f>IF(D322="",0,E322+F322)</x:f>
        <x:v>0</x:v>
      </x:c>
      <x:c r="H322" s="98" t="n">
        <x:f>IFERROR(VLOOKUP(D322,'Assumptions'!$A$19:$C$23,2,FALSE),0)</x:f>
        <x:v>0</x:v>
      </x:c>
      <x:c r="I322" s="93" t="n">
        <x:f>IF(D322="",0,H322*'Assumptions'!$B$10)</x:f>
        <x:v>0</x:v>
      </x:c>
      <x:c r="J322" s="337" t="n">
        <x:f>IF(D322="",0,G322-I322)</x:f>
        <x:v>0</x:v>
      </x:c>
      <x:c r="K322" s="331" t="n">
        <x:f>IF(G322=0,0,J322/G322)</x:f>
        <x:v>0</x:v>
      </x:c>
      <x:c r="L322" s="343" t="n">
        <x:f>IF(D322="",0,J322-I322*'Assumptions'!$B$11)</x:f>
        <x:v>0</x:v>
      </x:c>
      <x:c r="M322" s="80"/>
      <x:c r="N322" s="81"/>
    </x:row>
    <x:row r="323">
      <x:c r="A323" s="325"/>
      <x:c r="B323" s="328"/>
      <x:c r="C323" s="75"/>
      <x:c r="D323" s="81"/>
      <x:c r="E323" s="93" t="n">
        <x:f>IFERROR(VLOOKUP(D323,'Assumptions'!$A$19:$C$23,3,FALSE),0)</x:f>
        <x:v>0</x:v>
      </x:c>
      <x:c r="F323" s="94"/>
      <x:c r="G323" s="93" t="n">
        <x:f>IF(D323="",0,E323+F323)</x:f>
        <x:v>0</x:v>
      </x:c>
      <x:c r="H323" s="98" t="n">
        <x:f>IFERROR(VLOOKUP(D323,'Assumptions'!$A$19:$C$23,2,FALSE),0)</x:f>
        <x:v>0</x:v>
      </x:c>
      <x:c r="I323" s="93" t="n">
        <x:f>IF(D323="",0,H323*'Assumptions'!$B$10)</x:f>
        <x:v>0</x:v>
      </x:c>
      <x:c r="J323" s="337" t="n">
        <x:f>IF(D323="",0,G323-I323)</x:f>
        <x:v>0</x:v>
      </x:c>
      <x:c r="K323" s="331" t="n">
        <x:f>IF(G323=0,0,J323/G323)</x:f>
        <x:v>0</x:v>
      </x:c>
      <x:c r="L323" s="343" t="n">
        <x:f>IF(D323="",0,J323-I323*'Assumptions'!$B$11)</x:f>
        <x:v>0</x:v>
      </x:c>
      <x:c r="M323" s="80"/>
      <x:c r="N323" s="81"/>
    </x:row>
    <x:row r="324">
      <x:c r="A324" s="325"/>
      <x:c r="B324" s="328"/>
      <x:c r="C324" s="75"/>
      <x:c r="D324" s="81"/>
      <x:c r="E324" s="93" t="n">
        <x:f>IFERROR(VLOOKUP(D324,'Assumptions'!$A$19:$C$23,3,FALSE),0)</x:f>
        <x:v>0</x:v>
      </x:c>
      <x:c r="F324" s="94"/>
      <x:c r="G324" s="93" t="n">
        <x:f>IF(D324="",0,E324+F324)</x:f>
        <x:v>0</x:v>
      </x:c>
      <x:c r="H324" s="98" t="n">
        <x:f>IFERROR(VLOOKUP(D324,'Assumptions'!$A$19:$C$23,2,FALSE),0)</x:f>
        <x:v>0</x:v>
      </x:c>
      <x:c r="I324" s="93" t="n">
        <x:f>IF(D324="",0,H324*'Assumptions'!$B$10)</x:f>
        <x:v>0</x:v>
      </x:c>
      <x:c r="J324" s="337" t="n">
        <x:f>IF(D324="",0,G324-I324)</x:f>
        <x:v>0</x:v>
      </x:c>
      <x:c r="K324" s="331" t="n">
        <x:f>IF(G324=0,0,J324/G324)</x:f>
        <x:v>0</x:v>
      </x:c>
      <x:c r="L324" s="343" t="n">
        <x:f>IF(D324="",0,J324-I324*'Assumptions'!$B$11)</x:f>
        <x:v>0</x:v>
      </x:c>
      <x:c r="M324" s="80"/>
      <x:c r="N324" s="81"/>
    </x:row>
    <x:row r="325">
      <x:c r="A325" s="325"/>
      <x:c r="B325" s="328"/>
      <x:c r="C325" s="75"/>
      <x:c r="D325" s="81"/>
      <x:c r="E325" s="93" t="n">
        <x:f>IFERROR(VLOOKUP(D325,'Assumptions'!$A$19:$C$23,3,FALSE),0)</x:f>
        <x:v>0</x:v>
      </x:c>
      <x:c r="F325" s="94"/>
      <x:c r="G325" s="93" t="n">
        <x:f>IF(D325="",0,E325+F325)</x:f>
        <x:v>0</x:v>
      </x:c>
      <x:c r="H325" s="98" t="n">
        <x:f>IFERROR(VLOOKUP(D325,'Assumptions'!$A$19:$C$23,2,FALSE),0)</x:f>
        <x:v>0</x:v>
      </x:c>
      <x:c r="I325" s="93" t="n">
        <x:f>IF(D325="",0,H325*'Assumptions'!$B$10)</x:f>
        <x:v>0</x:v>
      </x:c>
      <x:c r="J325" s="337" t="n">
        <x:f>IF(D325="",0,G325-I325)</x:f>
        <x:v>0</x:v>
      </x:c>
      <x:c r="K325" s="331" t="n">
        <x:f>IF(G325=0,0,J325/G325)</x:f>
        <x:v>0</x:v>
      </x:c>
      <x:c r="L325" s="343" t="n">
        <x:f>IF(D325="",0,J325-I325*'Assumptions'!$B$11)</x:f>
        <x:v>0</x:v>
      </x:c>
      <x:c r="M325" s="80"/>
      <x:c r="N325" s="81"/>
    </x:row>
    <x:row r="326">
      <x:c r="A326" s="325"/>
      <x:c r="B326" s="328"/>
      <x:c r="C326" s="75"/>
      <x:c r="D326" s="81"/>
      <x:c r="E326" s="93" t="n">
        <x:f>IFERROR(VLOOKUP(D326,'Assumptions'!$A$19:$C$23,3,FALSE),0)</x:f>
        <x:v>0</x:v>
      </x:c>
      <x:c r="F326" s="94"/>
      <x:c r="G326" s="93" t="n">
        <x:f>IF(D326="",0,E326+F326)</x:f>
        <x:v>0</x:v>
      </x:c>
      <x:c r="H326" s="98" t="n">
        <x:f>IFERROR(VLOOKUP(D326,'Assumptions'!$A$19:$C$23,2,FALSE),0)</x:f>
        <x:v>0</x:v>
      </x:c>
      <x:c r="I326" s="93" t="n">
        <x:f>IF(D326="",0,H326*'Assumptions'!$B$10)</x:f>
        <x:v>0</x:v>
      </x:c>
      <x:c r="J326" s="337" t="n">
        <x:f>IF(D326="",0,G326-I326)</x:f>
        <x:v>0</x:v>
      </x:c>
      <x:c r="K326" s="331" t="n">
        <x:f>IF(G326=0,0,J326/G326)</x:f>
        <x:v>0</x:v>
      </x:c>
      <x:c r="L326" s="343" t="n">
        <x:f>IF(D326="",0,J326-I326*'Assumptions'!$B$11)</x:f>
        <x:v>0</x:v>
      </x:c>
      <x:c r="M326" s="80"/>
      <x:c r="N326" s="81"/>
    </x:row>
    <x:row r="327">
      <x:c r="A327" s="325"/>
      <x:c r="B327" s="328"/>
      <x:c r="C327" s="75"/>
      <x:c r="D327" s="81"/>
      <x:c r="E327" s="93" t="n">
        <x:f>IFERROR(VLOOKUP(D327,'Assumptions'!$A$19:$C$23,3,FALSE),0)</x:f>
        <x:v>0</x:v>
      </x:c>
      <x:c r="F327" s="94"/>
      <x:c r="G327" s="93" t="n">
        <x:f>IF(D327="",0,E327+F327)</x:f>
        <x:v>0</x:v>
      </x:c>
      <x:c r="H327" s="98" t="n">
        <x:f>IFERROR(VLOOKUP(D327,'Assumptions'!$A$19:$C$23,2,FALSE),0)</x:f>
        <x:v>0</x:v>
      </x:c>
      <x:c r="I327" s="93" t="n">
        <x:f>IF(D327="",0,H327*'Assumptions'!$B$10)</x:f>
        <x:v>0</x:v>
      </x:c>
      <x:c r="J327" s="337" t="n">
        <x:f>IF(D327="",0,G327-I327)</x:f>
        <x:v>0</x:v>
      </x:c>
      <x:c r="K327" s="331" t="n">
        <x:f>IF(G327=0,0,J327/G327)</x:f>
        <x:v>0</x:v>
      </x:c>
      <x:c r="L327" s="343" t="n">
        <x:f>IF(D327="",0,J327-I327*'Assumptions'!$B$11)</x:f>
        <x:v>0</x:v>
      </x:c>
      <x:c r="M327" s="80"/>
      <x:c r="N327" s="81"/>
    </x:row>
    <x:row r="328">
      <x:c r="A328" s="325"/>
      <x:c r="B328" s="328"/>
      <x:c r="C328" s="75"/>
      <x:c r="D328" s="81"/>
      <x:c r="E328" s="93" t="n">
        <x:f>IFERROR(VLOOKUP(D328,'Assumptions'!$A$19:$C$23,3,FALSE),0)</x:f>
        <x:v>0</x:v>
      </x:c>
      <x:c r="F328" s="94"/>
      <x:c r="G328" s="93" t="n">
        <x:f>IF(D328="",0,E328+F328)</x:f>
        <x:v>0</x:v>
      </x:c>
      <x:c r="H328" s="98" t="n">
        <x:f>IFERROR(VLOOKUP(D328,'Assumptions'!$A$19:$C$23,2,FALSE),0)</x:f>
        <x:v>0</x:v>
      </x:c>
      <x:c r="I328" s="93" t="n">
        <x:f>IF(D328="",0,H328*'Assumptions'!$B$10)</x:f>
        <x:v>0</x:v>
      </x:c>
      <x:c r="J328" s="337" t="n">
        <x:f>IF(D328="",0,G328-I328)</x:f>
        <x:v>0</x:v>
      </x:c>
      <x:c r="K328" s="331" t="n">
        <x:f>IF(G328=0,0,J328/G328)</x:f>
        <x:v>0</x:v>
      </x:c>
      <x:c r="L328" s="343" t="n">
        <x:f>IF(D328="",0,J328-I328*'Assumptions'!$B$11)</x:f>
        <x:v>0</x:v>
      </x:c>
      <x:c r="M328" s="80"/>
      <x:c r="N328" s="81"/>
    </x:row>
    <x:row r="329">
      <x:c r="A329" s="325"/>
      <x:c r="B329" s="328"/>
      <x:c r="C329" s="75"/>
      <x:c r="D329" s="81"/>
      <x:c r="E329" s="93" t="n">
        <x:f>IFERROR(VLOOKUP(D329,'Assumptions'!$A$19:$C$23,3,FALSE),0)</x:f>
        <x:v>0</x:v>
      </x:c>
      <x:c r="F329" s="94"/>
      <x:c r="G329" s="93" t="n">
        <x:f>IF(D329="",0,E329+F329)</x:f>
        <x:v>0</x:v>
      </x:c>
      <x:c r="H329" s="98" t="n">
        <x:f>IFERROR(VLOOKUP(D329,'Assumptions'!$A$19:$C$23,2,FALSE),0)</x:f>
        <x:v>0</x:v>
      </x:c>
      <x:c r="I329" s="93" t="n">
        <x:f>IF(D329="",0,H329*'Assumptions'!$B$10)</x:f>
        <x:v>0</x:v>
      </x:c>
      <x:c r="J329" s="337" t="n">
        <x:f>IF(D329="",0,G329-I329)</x:f>
        <x:v>0</x:v>
      </x:c>
      <x:c r="K329" s="331" t="n">
        <x:f>IF(G329=0,0,J329/G329)</x:f>
        <x:v>0</x:v>
      </x:c>
      <x:c r="L329" s="343" t="n">
        <x:f>IF(D329="",0,J329-I329*'Assumptions'!$B$11)</x:f>
        <x:v>0</x:v>
      </x:c>
      <x:c r="M329" s="80"/>
      <x:c r="N329" s="81"/>
    </x:row>
    <x:row r="330">
      <x:c r="A330" s="325"/>
      <x:c r="B330" s="328"/>
      <x:c r="C330" s="75"/>
      <x:c r="D330" s="81"/>
      <x:c r="E330" s="93" t="n">
        <x:f>IFERROR(VLOOKUP(D330,'Assumptions'!$A$19:$C$23,3,FALSE),0)</x:f>
        <x:v>0</x:v>
      </x:c>
      <x:c r="F330" s="94"/>
      <x:c r="G330" s="93" t="n">
        <x:f>IF(D330="",0,E330+F330)</x:f>
        <x:v>0</x:v>
      </x:c>
      <x:c r="H330" s="98" t="n">
        <x:f>IFERROR(VLOOKUP(D330,'Assumptions'!$A$19:$C$23,2,FALSE),0)</x:f>
        <x:v>0</x:v>
      </x:c>
      <x:c r="I330" s="93" t="n">
        <x:f>IF(D330="",0,H330*'Assumptions'!$B$10)</x:f>
        <x:v>0</x:v>
      </x:c>
      <x:c r="J330" s="337" t="n">
        <x:f>IF(D330="",0,G330-I330)</x:f>
        <x:v>0</x:v>
      </x:c>
      <x:c r="K330" s="331" t="n">
        <x:f>IF(G330=0,0,J330/G330)</x:f>
        <x:v>0</x:v>
      </x:c>
      <x:c r="L330" s="343" t="n">
        <x:f>IF(D330="",0,J330-I330*'Assumptions'!$B$11)</x:f>
        <x:v>0</x:v>
      </x:c>
      <x:c r="M330" s="80"/>
      <x:c r="N330" s="81"/>
    </x:row>
    <x:row r="331">
      <x:c r="A331" s="325"/>
      <x:c r="B331" s="328"/>
      <x:c r="C331" s="75"/>
      <x:c r="D331" s="81"/>
      <x:c r="E331" s="93" t="n">
        <x:f>IFERROR(VLOOKUP(D331,'Assumptions'!$A$19:$C$23,3,FALSE),0)</x:f>
        <x:v>0</x:v>
      </x:c>
      <x:c r="F331" s="94"/>
      <x:c r="G331" s="93" t="n">
        <x:f>IF(D331="",0,E331+F331)</x:f>
        <x:v>0</x:v>
      </x:c>
      <x:c r="H331" s="98" t="n">
        <x:f>IFERROR(VLOOKUP(D331,'Assumptions'!$A$19:$C$23,2,FALSE),0)</x:f>
        <x:v>0</x:v>
      </x:c>
      <x:c r="I331" s="93" t="n">
        <x:f>IF(D331="",0,H331*'Assumptions'!$B$10)</x:f>
        <x:v>0</x:v>
      </x:c>
      <x:c r="J331" s="337" t="n">
        <x:f>IF(D331="",0,G331-I331)</x:f>
        <x:v>0</x:v>
      </x:c>
      <x:c r="K331" s="331" t="n">
        <x:f>IF(G331=0,0,J331/G331)</x:f>
        <x:v>0</x:v>
      </x:c>
      <x:c r="L331" s="343" t="n">
        <x:f>IF(D331="",0,J331-I331*'Assumptions'!$B$11)</x:f>
        <x:v>0</x:v>
      </x:c>
      <x:c r="M331" s="80"/>
      <x:c r="N331" s="81"/>
    </x:row>
    <x:row r="332">
      <x:c r="A332" s="325"/>
      <x:c r="B332" s="328"/>
      <x:c r="C332" s="75"/>
      <x:c r="D332" s="81"/>
      <x:c r="E332" s="93" t="n">
        <x:f>IFERROR(VLOOKUP(D332,'Assumptions'!$A$19:$C$23,3,FALSE),0)</x:f>
        <x:v>0</x:v>
      </x:c>
      <x:c r="F332" s="94"/>
      <x:c r="G332" s="93" t="n">
        <x:f>IF(D332="",0,E332+F332)</x:f>
        <x:v>0</x:v>
      </x:c>
      <x:c r="H332" s="98" t="n">
        <x:f>IFERROR(VLOOKUP(D332,'Assumptions'!$A$19:$C$23,2,FALSE),0)</x:f>
        <x:v>0</x:v>
      </x:c>
      <x:c r="I332" s="93" t="n">
        <x:f>IF(D332="",0,H332*'Assumptions'!$B$10)</x:f>
        <x:v>0</x:v>
      </x:c>
      <x:c r="J332" s="337" t="n">
        <x:f>IF(D332="",0,G332-I332)</x:f>
        <x:v>0</x:v>
      </x:c>
      <x:c r="K332" s="331" t="n">
        <x:f>IF(G332=0,0,J332/G332)</x:f>
        <x:v>0</x:v>
      </x:c>
      <x:c r="L332" s="343" t="n">
        <x:f>IF(D332="",0,J332-I332*'Assumptions'!$B$11)</x:f>
        <x:v>0</x:v>
      </x:c>
      <x:c r="M332" s="80"/>
      <x:c r="N332" s="81"/>
    </x:row>
    <x:row r="333">
      <x:c r="A333" s="325"/>
      <x:c r="B333" s="328"/>
      <x:c r="C333" s="75"/>
      <x:c r="D333" s="81"/>
      <x:c r="E333" s="93" t="n">
        <x:f>IFERROR(VLOOKUP(D333,'Assumptions'!$A$19:$C$23,3,FALSE),0)</x:f>
        <x:v>0</x:v>
      </x:c>
      <x:c r="F333" s="94"/>
      <x:c r="G333" s="93" t="n">
        <x:f>IF(D333="",0,E333+F333)</x:f>
        <x:v>0</x:v>
      </x:c>
      <x:c r="H333" s="98" t="n">
        <x:f>IFERROR(VLOOKUP(D333,'Assumptions'!$A$19:$C$23,2,FALSE),0)</x:f>
        <x:v>0</x:v>
      </x:c>
      <x:c r="I333" s="93" t="n">
        <x:f>IF(D333="",0,H333*'Assumptions'!$B$10)</x:f>
        <x:v>0</x:v>
      </x:c>
      <x:c r="J333" s="337" t="n">
        <x:f>IF(D333="",0,G333-I333)</x:f>
        <x:v>0</x:v>
      </x:c>
      <x:c r="K333" s="331" t="n">
        <x:f>IF(G333=0,0,J333/G333)</x:f>
        <x:v>0</x:v>
      </x:c>
      <x:c r="L333" s="343" t="n">
        <x:f>IF(D333="",0,J333-I333*'Assumptions'!$B$11)</x:f>
        <x:v>0</x:v>
      </x:c>
      <x:c r="M333" s="80"/>
      <x:c r="N333" s="81"/>
    </x:row>
    <x:row r="334">
      <x:c r="A334" s="325"/>
      <x:c r="B334" s="328"/>
      <x:c r="C334" s="75"/>
      <x:c r="D334" s="81"/>
      <x:c r="E334" s="93" t="n">
        <x:f>IFERROR(VLOOKUP(D334,'Assumptions'!$A$19:$C$23,3,FALSE),0)</x:f>
        <x:v>0</x:v>
      </x:c>
      <x:c r="F334" s="94"/>
      <x:c r="G334" s="93" t="n">
        <x:f>IF(D334="",0,E334+F334)</x:f>
        <x:v>0</x:v>
      </x:c>
      <x:c r="H334" s="98" t="n">
        <x:f>IFERROR(VLOOKUP(D334,'Assumptions'!$A$19:$C$23,2,FALSE),0)</x:f>
        <x:v>0</x:v>
      </x:c>
      <x:c r="I334" s="93" t="n">
        <x:f>IF(D334="",0,H334*'Assumptions'!$B$10)</x:f>
        <x:v>0</x:v>
      </x:c>
      <x:c r="J334" s="337" t="n">
        <x:f>IF(D334="",0,G334-I334)</x:f>
        <x:v>0</x:v>
      </x:c>
      <x:c r="K334" s="331" t="n">
        <x:f>IF(G334=0,0,J334/G334)</x:f>
        <x:v>0</x:v>
      </x:c>
      <x:c r="L334" s="343" t="n">
        <x:f>IF(D334="",0,J334-I334*'Assumptions'!$B$11)</x:f>
        <x:v>0</x:v>
      </x:c>
      <x:c r="M334" s="80"/>
      <x:c r="N334" s="81"/>
    </x:row>
    <x:row r="335">
      <x:c r="A335" s="325"/>
      <x:c r="B335" s="328"/>
      <x:c r="C335" s="75"/>
      <x:c r="D335" s="81"/>
      <x:c r="E335" s="93" t="n">
        <x:f>IFERROR(VLOOKUP(D335,'Assumptions'!$A$19:$C$23,3,FALSE),0)</x:f>
        <x:v>0</x:v>
      </x:c>
      <x:c r="F335" s="94"/>
      <x:c r="G335" s="93" t="n">
        <x:f>IF(D335="",0,E335+F335)</x:f>
        <x:v>0</x:v>
      </x:c>
      <x:c r="H335" s="98" t="n">
        <x:f>IFERROR(VLOOKUP(D335,'Assumptions'!$A$19:$C$23,2,FALSE),0)</x:f>
        <x:v>0</x:v>
      </x:c>
      <x:c r="I335" s="93" t="n">
        <x:f>IF(D335="",0,H335*'Assumptions'!$B$10)</x:f>
        <x:v>0</x:v>
      </x:c>
      <x:c r="J335" s="337" t="n">
        <x:f>IF(D335="",0,G335-I335)</x:f>
        <x:v>0</x:v>
      </x:c>
      <x:c r="K335" s="331" t="n">
        <x:f>IF(G335=0,0,J335/G335)</x:f>
        <x:v>0</x:v>
      </x:c>
      <x:c r="L335" s="343" t="n">
        <x:f>IF(D335="",0,J335-I335*'Assumptions'!$B$11)</x:f>
        <x:v>0</x:v>
      </x:c>
      <x:c r="M335" s="80"/>
      <x:c r="N335" s="81"/>
    </x:row>
    <x:row r="336">
      <x:c r="A336" s="325"/>
      <x:c r="B336" s="328"/>
      <x:c r="C336" s="75"/>
      <x:c r="D336" s="81"/>
      <x:c r="E336" s="93" t="n">
        <x:f>IFERROR(VLOOKUP(D336,'Assumptions'!$A$19:$C$23,3,FALSE),0)</x:f>
        <x:v>0</x:v>
      </x:c>
      <x:c r="F336" s="94"/>
      <x:c r="G336" s="93" t="n">
        <x:f>IF(D336="",0,E336+F336)</x:f>
        <x:v>0</x:v>
      </x:c>
      <x:c r="H336" s="98" t="n">
        <x:f>IFERROR(VLOOKUP(D336,'Assumptions'!$A$19:$C$23,2,FALSE),0)</x:f>
        <x:v>0</x:v>
      </x:c>
      <x:c r="I336" s="93" t="n">
        <x:f>IF(D336="",0,H336*'Assumptions'!$B$10)</x:f>
        <x:v>0</x:v>
      </x:c>
      <x:c r="J336" s="337" t="n">
        <x:f>IF(D336="",0,G336-I336)</x:f>
        <x:v>0</x:v>
      </x:c>
      <x:c r="K336" s="331" t="n">
        <x:f>IF(G336=0,0,J336/G336)</x:f>
        <x:v>0</x:v>
      </x:c>
      <x:c r="L336" s="343" t="n">
        <x:f>IF(D336="",0,J336-I336*'Assumptions'!$B$11)</x:f>
        <x:v>0</x:v>
      </x:c>
      <x:c r="M336" s="80"/>
      <x:c r="N336" s="81"/>
    </x:row>
    <x:row r="337">
      <x:c r="A337" s="325"/>
      <x:c r="B337" s="328"/>
      <x:c r="C337" s="75"/>
      <x:c r="D337" s="81"/>
      <x:c r="E337" s="93" t="n">
        <x:f>IFERROR(VLOOKUP(D337,'Assumptions'!$A$19:$C$23,3,FALSE),0)</x:f>
        <x:v>0</x:v>
      </x:c>
      <x:c r="F337" s="94"/>
      <x:c r="G337" s="93" t="n">
        <x:f>IF(D337="",0,E337+F337)</x:f>
        <x:v>0</x:v>
      </x:c>
      <x:c r="H337" s="98" t="n">
        <x:f>IFERROR(VLOOKUP(D337,'Assumptions'!$A$19:$C$23,2,FALSE),0)</x:f>
        <x:v>0</x:v>
      </x:c>
      <x:c r="I337" s="93" t="n">
        <x:f>IF(D337="",0,H337*'Assumptions'!$B$10)</x:f>
        <x:v>0</x:v>
      </x:c>
      <x:c r="J337" s="337" t="n">
        <x:f>IF(D337="",0,G337-I337)</x:f>
        <x:v>0</x:v>
      </x:c>
      <x:c r="K337" s="331" t="n">
        <x:f>IF(G337=0,0,J337/G337)</x:f>
        <x:v>0</x:v>
      </x:c>
      <x:c r="L337" s="343" t="n">
        <x:f>IF(D337="",0,J337-I337*'Assumptions'!$B$11)</x:f>
        <x:v>0</x:v>
      </x:c>
      <x:c r="M337" s="80"/>
      <x:c r="N337" s="81"/>
    </x:row>
    <x:row r="338">
      <x:c r="A338" s="325"/>
      <x:c r="B338" s="328"/>
      <x:c r="C338" s="75"/>
      <x:c r="D338" s="81"/>
      <x:c r="E338" s="93" t="n">
        <x:f>IFERROR(VLOOKUP(D338,'Assumptions'!$A$19:$C$23,3,FALSE),0)</x:f>
        <x:v>0</x:v>
      </x:c>
      <x:c r="F338" s="94"/>
      <x:c r="G338" s="93" t="n">
        <x:f>IF(D338="",0,E338+F338)</x:f>
        <x:v>0</x:v>
      </x:c>
      <x:c r="H338" s="98" t="n">
        <x:f>IFERROR(VLOOKUP(D338,'Assumptions'!$A$19:$C$23,2,FALSE),0)</x:f>
        <x:v>0</x:v>
      </x:c>
      <x:c r="I338" s="93" t="n">
        <x:f>IF(D338="",0,H338*'Assumptions'!$B$10)</x:f>
        <x:v>0</x:v>
      </x:c>
      <x:c r="J338" s="337" t="n">
        <x:f>IF(D338="",0,G338-I338)</x:f>
        <x:v>0</x:v>
      </x:c>
      <x:c r="K338" s="331" t="n">
        <x:f>IF(G338=0,0,J338/G338)</x:f>
        <x:v>0</x:v>
      </x:c>
      <x:c r="L338" s="343" t="n">
        <x:f>IF(D338="",0,J338-I338*'Assumptions'!$B$11)</x:f>
        <x:v>0</x:v>
      </x:c>
      <x:c r="M338" s="80"/>
      <x:c r="N338" s="81"/>
    </x:row>
    <x:row r="339">
      <x:c r="A339" s="325"/>
      <x:c r="B339" s="328"/>
      <x:c r="C339" s="75"/>
      <x:c r="D339" s="81"/>
      <x:c r="E339" s="93" t="n">
        <x:f>IFERROR(VLOOKUP(D339,'Assumptions'!$A$19:$C$23,3,FALSE),0)</x:f>
        <x:v>0</x:v>
      </x:c>
      <x:c r="F339" s="94"/>
      <x:c r="G339" s="93" t="n">
        <x:f>IF(D339="",0,E339+F339)</x:f>
        <x:v>0</x:v>
      </x:c>
      <x:c r="H339" s="98" t="n">
        <x:f>IFERROR(VLOOKUP(D339,'Assumptions'!$A$19:$C$23,2,FALSE),0)</x:f>
        <x:v>0</x:v>
      </x:c>
      <x:c r="I339" s="93" t="n">
        <x:f>IF(D339="",0,H339*'Assumptions'!$B$10)</x:f>
        <x:v>0</x:v>
      </x:c>
      <x:c r="J339" s="337" t="n">
        <x:f>IF(D339="",0,G339-I339)</x:f>
        <x:v>0</x:v>
      </x:c>
      <x:c r="K339" s="331" t="n">
        <x:f>IF(G339=0,0,J339/G339)</x:f>
        <x:v>0</x:v>
      </x:c>
      <x:c r="L339" s="343" t="n">
        <x:f>IF(D339="",0,J339-I339*'Assumptions'!$B$11)</x:f>
        <x:v>0</x:v>
      </x:c>
      <x:c r="M339" s="80"/>
      <x:c r="N339" s="81"/>
    </x:row>
    <x:row r="340">
      <x:c r="A340" s="325"/>
      <x:c r="B340" s="328"/>
      <x:c r="C340" s="75"/>
      <x:c r="D340" s="81"/>
      <x:c r="E340" s="93" t="n">
        <x:f>IFERROR(VLOOKUP(D340,'Assumptions'!$A$19:$C$23,3,FALSE),0)</x:f>
        <x:v>0</x:v>
      </x:c>
      <x:c r="F340" s="94"/>
      <x:c r="G340" s="93" t="n">
        <x:f>IF(D340="",0,E340+F340)</x:f>
        <x:v>0</x:v>
      </x:c>
      <x:c r="H340" s="98" t="n">
        <x:f>IFERROR(VLOOKUP(D340,'Assumptions'!$A$19:$C$23,2,FALSE),0)</x:f>
        <x:v>0</x:v>
      </x:c>
      <x:c r="I340" s="93" t="n">
        <x:f>IF(D340="",0,H340*'Assumptions'!$B$10)</x:f>
        <x:v>0</x:v>
      </x:c>
      <x:c r="J340" s="337" t="n">
        <x:f>IF(D340="",0,G340-I340)</x:f>
        <x:v>0</x:v>
      </x:c>
      <x:c r="K340" s="331" t="n">
        <x:f>IF(G340=0,0,J340/G340)</x:f>
        <x:v>0</x:v>
      </x:c>
      <x:c r="L340" s="343" t="n">
        <x:f>IF(D340="",0,J340-I340*'Assumptions'!$B$11)</x:f>
        <x:v>0</x:v>
      </x:c>
      <x:c r="M340" s="80"/>
      <x:c r="N340" s="81"/>
    </x:row>
    <x:row r="341">
      <x:c r="A341" s="325"/>
      <x:c r="B341" s="328"/>
      <x:c r="C341" s="75"/>
      <x:c r="D341" s="81"/>
      <x:c r="E341" s="93" t="n">
        <x:f>IFERROR(VLOOKUP(D341,'Assumptions'!$A$19:$C$23,3,FALSE),0)</x:f>
        <x:v>0</x:v>
      </x:c>
      <x:c r="F341" s="94"/>
      <x:c r="G341" s="93" t="n">
        <x:f>IF(D341="",0,E341+F341)</x:f>
        <x:v>0</x:v>
      </x:c>
      <x:c r="H341" s="98" t="n">
        <x:f>IFERROR(VLOOKUP(D341,'Assumptions'!$A$19:$C$23,2,FALSE),0)</x:f>
        <x:v>0</x:v>
      </x:c>
      <x:c r="I341" s="93" t="n">
        <x:f>IF(D341="",0,H341*'Assumptions'!$B$10)</x:f>
        <x:v>0</x:v>
      </x:c>
      <x:c r="J341" s="337" t="n">
        <x:f>IF(D341="",0,G341-I341)</x:f>
        <x:v>0</x:v>
      </x:c>
      <x:c r="K341" s="331" t="n">
        <x:f>IF(G341=0,0,J341/G341)</x:f>
        <x:v>0</x:v>
      </x:c>
      <x:c r="L341" s="343" t="n">
        <x:f>IF(D341="",0,J341-I341*'Assumptions'!$B$11)</x:f>
        <x:v>0</x:v>
      </x:c>
      <x:c r="M341" s="80"/>
      <x:c r="N341" s="81"/>
    </x:row>
    <x:row r="342">
      <x:c r="A342" s="325"/>
      <x:c r="B342" s="328"/>
      <x:c r="C342" s="75"/>
      <x:c r="D342" s="81"/>
      <x:c r="E342" s="93" t="n">
        <x:f>IFERROR(VLOOKUP(D342,'Assumptions'!$A$19:$C$23,3,FALSE),0)</x:f>
        <x:v>0</x:v>
      </x:c>
      <x:c r="F342" s="94"/>
      <x:c r="G342" s="93" t="n">
        <x:f>IF(D342="",0,E342+F342)</x:f>
        <x:v>0</x:v>
      </x:c>
      <x:c r="H342" s="98" t="n">
        <x:f>IFERROR(VLOOKUP(D342,'Assumptions'!$A$19:$C$23,2,FALSE),0)</x:f>
        <x:v>0</x:v>
      </x:c>
      <x:c r="I342" s="93" t="n">
        <x:f>IF(D342="",0,H342*'Assumptions'!$B$10)</x:f>
        <x:v>0</x:v>
      </x:c>
      <x:c r="J342" s="337" t="n">
        <x:f>IF(D342="",0,G342-I342)</x:f>
        <x:v>0</x:v>
      </x:c>
      <x:c r="K342" s="331" t="n">
        <x:f>IF(G342=0,0,J342/G342)</x:f>
        <x:v>0</x:v>
      </x:c>
      <x:c r="L342" s="343" t="n">
        <x:f>IF(D342="",0,J342-I342*'Assumptions'!$B$11)</x:f>
        <x:v>0</x:v>
      </x:c>
      <x:c r="M342" s="80"/>
      <x:c r="N342" s="81"/>
    </x:row>
    <x:row r="343">
      <x:c r="A343" s="325"/>
      <x:c r="B343" s="328"/>
      <x:c r="C343" s="75"/>
      <x:c r="D343" s="81"/>
      <x:c r="E343" s="93" t="n">
        <x:f>IFERROR(VLOOKUP(D343,'Assumptions'!$A$19:$C$23,3,FALSE),0)</x:f>
        <x:v>0</x:v>
      </x:c>
      <x:c r="F343" s="94"/>
      <x:c r="G343" s="93" t="n">
        <x:f>IF(D343="",0,E343+F343)</x:f>
        <x:v>0</x:v>
      </x:c>
      <x:c r="H343" s="98" t="n">
        <x:f>IFERROR(VLOOKUP(D343,'Assumptions'!$A$19:$C$23,2,FALSE),0)</x:f>
        <x:v>0</x:v>
      </x:c>
      <x:c r="I343" s="93" t="n">
        <x:f>IF(D343="",0,H343*'Assumptions'!$B$10)</x:f>
        <x:v>0</x:v>
      </x:c>
      <x:c r="J343" s="337" t="n">
        <x:f>IF(D343="",0,G343-I343)</x:f>
        <x:v>0</x:v>
      </x:c>
      <x:c r="K343" s="331" t="n">
        <x:f>IF(G343=0,0,J343/G343)</x:f>
        <x:v>0</x:v>
      </x:c>
      <x:c r="L343" s="343" t="n">
        <x:f>IF(D343="",0,J343-I343*'Assumptions'!$B$11)</x:f>
        <x:v>0</x:v>
      </x:c>
      <x:c r="M343" s="80"/>
      <x:c r="N343" s="81"/>
    </x:row>
    <x:row r="344">
      <x:c r="A344" s="325"/>
      <x:c r="B344" s="328"/>
      <x:c r="C344" s="75"/>
      <x:c r="D344" s="81"/>
      <x:c r="E344" s="93" t="n">
        <x:f>IFERROR(VLOOKUP(D344,'Assumptions'!$A$19:$C$23,3,FALSE),0)</x:f>
        <x:v>0</x:v>
      </x:c>
      <x:c r="F344" s="94"/>
      <x:c r="G344" s="93" t="n">
        <x:f>IF(D344="",0,E344+F344)</x:f>
        <x:v>0</x:v>
      </x:c>
      <x:c r="H344" s="98" t="n">
        <x:f>IFERROR(VLOOKUP(D344,'Assumptions'!$A$19:$C$23,2,FALSE),0)</x:f>
        <x:v>0</x:v>
      </x:c>
      <x:c r="I344" s="93" t="n">
        <x:f>IF(D344="",0,H344*'Assumptions'!$B$10)</x:f>
        <x:v>0</x:v>
      </x:c>
      <x:c r="J344" s="337" t="n">
        <x:f>IF(D344="",0,G344-I344)</x:f>
        <x:v>0</x:v>
      </x:c>
      <x:c r="K344" s="331" t="n">
        <x:f>IF(G344=0,0,J344/G344)</x:f>
        <x:v>0</x:v>
      </x:c>
      <x:c r="L344" s="343" t="n">
        <x:f>IF(D344="",0,J344-I344*'Assumptions'!$B$11)</x:f>
        <x:v>0</x:v>
      </x:c>
      <x:c r="M344" s="80"/>
      <x:c r="N344" s="81"/>
    </x:row>
    <x:row r="345">
      <x:c r="A345" s="325"/>
      <x:c r="B345" s="328"/>
      <x:c r="C345" s="75"/>
      <x:c r="D345" s="81"/>
      <x:c r="E345" s="93" t="n">
        <x:f>IFERROR(VLOOKUP(D345,'Assumptions'!$A$19:$C$23,3,FALSE),0)</x:f>
        <x:v>0</x:v>
      </x:c>
      <x:c r="F345" s="94"/>
      <x:c r="G345" s="93" t="n">
        <x:f>IF(D345="",0,E345+F345)</x:f>
        <x:v>0</x:v>
      </x:c>
      <x:c r="H345" s="98" t="n">
        <x:f>IFERROR(VLOOKUP(D345,'Assumptions'!$A$19:$C$23,2,FALSE),0)</x:f>
        <x:v>0</x:v>
      </x:c>
      <x:c r="I345" s="93" t="n">
        <x:f>IF(D345="",0,H345*'Assumptions'!$B$10)</x:f>
        <x:v>0</x:v>
      </x:c>
      <x:c r="J345" s="337" t="n">
        <x:f>IF(D345="",0,G345-I345)</x:f>
        <x:v>0</x:v>
      </x:c>
      <x:c r="K345" s="331" t="n">
        <x:f>IF(G345=0,0,J345/G345)</x:f>
        <x:v>0</x:v>
      </x:c>
      <x:c r="L345" s="343" t="n">
        <x:f>IF(D345="",0,J345-I345*'Assumptions'!$B$11)</x:f>
        <x:v>0</x:v>
      </x:c>
      <x:c r="M345" s="80"/>
      <x:c r="N345" s="81"/>
    </x:row>
    <x:row r="346">
      <x:c r="A346" s="325"/>
      <x:c r="B346" s="328"/>
      <x:c r="C346" s="75"/>
      <x:c r="D346" s="81"/>
      <x:c r="E346" s="93" t="n">
        <x:f>IFERROR(VLOOKUP(D346,'Assumptions'!$A$19:$C$23,3,FALSE),0)</x:f>
        <x:v>0</x:v>
      </x:c>
      <x:c r="F346" s="94"/>
      <x:c r="G346" s="93" t="n">
        <x:f>IF(D346="",0,E346+F346)</x:f>
        <x:v>0</x:v>
      </x:c>
      <x:c r="H346" s="98" t="n">
        <x:f>IFERROR(VLOOKUP(D346,'Assumptions'!$A$19:$C$23,2,FALSE),0)</x:f>
        <x:v>0</x:v>
      </x:c>
      <x:c r="I346" s="93" t="n">
        <x:f>IF(D346="",0,H346*'Assumptions'!$B$10)</x:f>
        <x:v>0</x:v>
      </x:c>
      <x:c r="J346" s="337" t="n">
        <x:f>IF(D346="",0,G346-I346)</x:f>
        <x:v>0</x:v>
      </x:c>
      <x:c r="K346" s="331" t="n">
        <x:f>IF(G346=0,0,J346/G346)</x:f>
        <x:v>0</x:v>
      </x:c>
      <x:c r="L346" s="343" t="n">
        <x:f>IF(D346="",0,J346-I346*'Assumptions'!$B$11)</x:f>
        <x:v>0</x:v>
      </x:c>
      <x:c r="M346" s="80"/>
      <x:c r="N346" s="81"/>
    </x:row>
    <x:row r="347">
      <x:c r="A347" s="325"/>
      <x:c r="B347" s="328"/>
      <x:c r="C347" s="75"/>
      <x:c r="D347" s="81"/>
      <x:c r="E347" s="93" t="n">
        <x:f>IFERROR(VLOOKUP(D347,'Assumptions'!$A$19:$C$23,3,FALSE),0)</x:f>
        <x:v>0</x:v>
      </x:c>
      <x:c r="F347" s="94"/>
      <x:c r="G347" s="93" t="n">
        <x:f>IF(D347="",0,E347+F347)</x:f>
        <x:v>0</x:v>
      </x:c>
      <x:c r="H347" s="98" t="n">
        <x:f>IFERROR(VLOOKUP(D347,'Assumptions'!$A$19:$C$23,2,FALSE),0)</x:f>
        <x:v>0</x:v>
      </x:c>
      <x:c r="I347" s="93" t="n">
        <x:f>IF(D347="",0,H347*'Assumptions'!$B$10)</x:f>
        <x:v>0</x:v>
      </x:c>
      <x:c r="J347" s="337" t="n">
        <x:f>IF(D347="",0,G347-I347)</x:f>
        <x:v>0</x:v>
      </x:c>
      <x:c r="K347" s="331" t="n">
        <x:f>IF(G347=0,0,J347/G347)</x:f>
        <x:v>0</x:v>
      </x:c>
      <x:c r="L347" s="343" t="n">
        <x:f>IF(D347="",0,J347-I347*'Assumptions'!$B$11)</x:f>
        <x:v>0</x:v>
      </x:c>
      <x:c r="M347" s="80"/>
      <x:c r="N347" s="81"/>
    </x:row>
    <x:row r="348">
      <x:c r="A348" s="325"/>
      <x:c r="B348" s="328"/>
      <x:c r="C348" s="75"/>
      <x:c r="D348" s="81"/>
      <x:c r="E348" s="93" t="n">
        <x:f>IFERROR(VLOOKUP(D348,'Assumptions'!$A$19:$C$23,3,FALSE),0)</x:f>
        <x:v>0</x:v>
      </x:c>
      <x:c r="F348" s="94"/>
      <x:c r="G348" s="93" t="n">
        <x:f>IF(D348="",0,E348+F348)</x:f>
        <x:v>0</x:v>
      </x:c>
      <x:c r="H348" s="98" t="n">
        <x:f>IFERROR(VLOOKUP(D348,'Assumptions'!$A$19:$C$23,2,FALSE),0)</x:f>
        <x:v>0</x:v>
      </x:c>
      <x:c r="I348" s="93" t="n">
        <x:f>IF(D348="",0,H348*'Assumptions'!$B$10)</x:f>
        <x:v>0</x:v>
      </x:c>
      <x:c r="J348" s="337" t="n">
        <x:f>IF(D348="",0,G348-I348)</x:f>
        <x:v>0</x:v>
      </x:c>
      <x:c r="K348" s="331" t="n">
        <x:f>IF(G348=0,0,J348/G348)</x:f>
        <x:v>0</x:v>
      </x:c>
      <x:c r="L348" s="343" t="n">
        <x:f>IF(D348="",0,J348-I348*'Assumptions'!$B$11)</x:f>
        <x:v>0</x:v>
      </x:c>
      <x:c r="M348" s="80"/>
      <x:c r="N348" s="81"/>
    </x:row>
    <x:row r="349">
      <x:c r="A349" s="325"/>
      <x:c r="B349" s="328"/>
      <x:c r="C349" s="75"/>
      <x:c r="D349" s="81"/>
      <x:c r="E349" s="93" t="n">
        <x:f>IFERROR(VLOOKUP(D349,'Assumptions'!$A$19:$C$23,3,FALSE),0)</x:f>
        <x:v>0</x:v>
      </x:c>
      <x:c r="F349" s="94"/>
      <x:c r="G349" s="93" t="n">
        <x:f>IF(D349="",0,E349+F349)</x:f>
        <x:v>0</x:v>
      </x:c>
      <x:c r="H349" s="98" t="n">
        <x:f>IFERROR(VLOOKUP(D349,'Assumptions'!$A$19:$C$23,2,FALSE),0)</x:f>
        <x:v>0</x:v>
      </x:c>
      <x:c r="I349" s="93" t="n">
        <x:f>IF(D349="",0,H349*'Assumptions'!$B$10)</x:f>
        <x:v>0</x:v>
      </x:c>
      <x:c r="J349" s="337" t="n">
        <x:f>IF(D349="",0,G349-I349)</x:f>
        <x:v>0</x:v>
      </x:c>
      <x:c r="K349" s="331" t="n">
        <x:f>IF(G349=0,0,J349/G349)</x:f>
        <x:v>0</x:v>
      </x:c>
      <x:c r="L349" s="343" t="n">
        <x:f>IF(D349="",0,J349-I349*'Assumptions'!$B$11)</x:f>
        <x:v>0</x:v>
      </x:c>
      <x:c r="M349" s="80"/>
      <x:c r="N349" s="81"/>
    </x:row>
    <x:row r="350">
      <x:c r="A350" s="325"/>
      <x:c r="B350" s="328"/>
      <x:c r="C350" s="75"/>
      <x:c r="D350" s="81"/>
      <x:c r="E350" s="93" t="n">
        <x:f>IFERROR(VLOOKUP(D350,'Assumptions'!$A$19:$C$23,3,FALSE),0)</x:f>
        <x:v>0</x:v>
      </x:c>
      <x:c r="F350" s="94"/>
      <x:c r="G350" s="93" t="n">
        <x:f>IF(D350="",0,E350+F350)</x:f>
        <x:v>0</x:v>
      </x:c>
      <x:c r="H350" s="98" t="n">
        <x:f>IFERROR(VLOOKUP(D350,'Assumptions'!$A$19:$C$23,2,FALSE),0)</x:f>
        <x:v>0</x:v>
      </x:c>
      <x:c r="I350" s="93" t="n">
        <x:f>IF(D350="",0,H350*'Assumptions'!$B$10)</x:f>
        <x:v>0</x:v>
      </x:c>
      <x:c r="J350" s="337" t="n">
        <x:f>IF(D350="",0,G350-I350)</x:f>
        <x:v>0</x:v>
      </x:c>
      <x:c r="K350" s="331" t="n">
        <x:f>IF(G350=0,0,J350/G350)</x:f>
        <x:v>0</x:v>
      </x:c>
      <x:c r="L350" s="343" t="n">
        <x:f>IF(D350="",0,J350-I350*'Assumptions'!$B$11)</x:f>
        <x:v>0</x:v>
      </x:c>
      <x:c r="M350" s="80"/>
      <x:c r="N350" s="81"/>
    </x:row>
    <x:row r="351">
      <x:c r="A351" s="325"/>
      <x:c r="B351" s="328"/>
      <x:c r="C351" s="75"/>
      <x:c r="D351" s="81"/>
      <x:c r="E351" s="93" t="n">
        <x:f>IFERROR(VLOOKUP(D351,'Assumptions'!$A$19:$C$23,3,FALSE),0)</x:f>
        <x:v>0</x:v>
      </x:c>
      <x:c r="F351" s="94"/>
      <x:c r="G351" s="93" t="n">
        <x:f>IF(D351="",0,E351+F351)</x:f>
        <x:v>0</x:v>
      </x:c>
      <x:c r="H351" s="98" t="n">
        <x:f>IFERROR(VLOOKUP(D351,'Assumptions'!$A$19:$C$23,2,FALSE),0)</x:f>
        <x:v>0</x:v>
      </x:c>
      <x:c r="I351" s="93" t="n">
        <x:f>IF(D351="",0,H351*'Assumptions'!$B$10)</x:f>
        <x:v>0</x:v>
      </x:c>
      <x:c r="J351" s="337" t="n">
        <x:f>IF(D351="",0,G351-I351)</x:f>
        <x:v>0</x:v>
      </x:c>
      <x:c r="K351" s="331" t="n">
        <x:f>IF(G351=0,0,J351/G351)</x:f>
        <x:v>0</x:v>
      </x:c>
      <x:c r="L351" s="343" t="n">
        <x:f>IF(D351="",0,J351-I351*'Assumptions'!$B$11)</x:f>
        <x:v>0</x:v>
      </x:c>
      <x:c r="M351" s="80"/>
      <x:c r="N351" s="81"/>
    </x:row>
    <x:row r="352">
      <x:c r="A352" s="325"/>
      <x:c r="B352" s="328"/>
      <x:c r="C352" s="75"/>
      <x:c r="D352" s="81"/>
      <x:c r="E352" s="93" t="n">
        <x:f>IFERROR(VLOOKUP(D352,'Assumptions'!$A$19:$C$23,3,FALSE),0)</x:f>
        <x:v>0</x:v>
      </x:c>
      <x:c r="F352" s="94"/>
      <x:c r="G352" s="93" t="n">
        <x:f>IF(D352="",0,E352+F352)</x:f>
        <x:v>0</x:v>
      </x:c>
      <x:c r="H352" s="98" t="n">
        <x:f>IFERROR(VLOOKUP(D352,'Assumptions'!$A$19:$C$23,2,FALSE),0)</x:f>
        <x:v>0</x:v>
      </x:c>
      <x:c r="I352" s="93" t="n">
        <x:f>IF(D352="",0,H352*'Assumptions'!$B$10)</x:f>
        <x:v>0</x:v>
      </x:c>
      <x:c r="J352" s="337" t="n">
        <x:f>IF(D352="",0,G352-I352)</x:f>
        <x:v>0</x:v>
      </x:c>
      <x:c r="K352" s="331" t="n">
        <x:f>IF(G352=0,0,J352/G352)</x:f>
        <x:v>0</x:v>
      </x:c>
      <x:c r="L352" s="343" t="n">
        <x:f>IF(D352="",0,J352-I352*'Assumptions'!$B$11)</x:f>
        <x:v>0</x:v>
      </x:c>
      <x:c r="M352" s="80"/>
      <x:c r="N352" s="81"/>
    </x:row>
    <x:row r="353">
      <x:c r="A353" s="325"/>
      <x:c r="B353" s="328"/>
      <x:c r="C353" s="75"/>
      <x:c r="D353" s="81"/>
      <x:c r="E353" s="93" t="n">
        <x:f>IFERROR(VLOOKUP(D353,'Assumptions'!$A$19:$C$23,3,FALSE),0)</x:f>
        <x:v>0</x:v>
      </x:c>
      <x:c r="F353" s="94"/>
      <x:c r="G353" s="93" t="n">
        <x:f>IF(D353="",0,E353+F353)</x:f>
        <x:v>0</x:v>
      </x:c>
      <x:c r="H353" s="98" t="n">
        <x:f>IFERROR(VLOOKUP(D353,'Assumptions'!$A$19:$C$23,2,FALSE),0)</x:f>
        <x:v>0</x:v>
      </x:c>
      <x:c r="I353" s="93" t="n">
        <x:f>IF(D353="",0,H353*'Assumptions'!$B$10)</x:f>
        <x:v>0</x:v>
      </x:c>
      <x:c r="J353" s="337" t="n">
        <x:f>IF(D353="",0,G353-I353)</x:f>
        <x:v>0</x:v>
      </x:c>
      <x:c r="K353" s="331" t="n">
        <x:f>IF(G353=0,0,J353/G353)</x:f>
        <x:v>0</x:v>
      </x:c>
      <x:c r="L353" s="343" t="n">
        <x:f>IF(D353="",0,J353-I353*'Assumptions'!$B$11)</x:f>
        <x:v>0</x:v>
      </x:c>
      <x:c r="M353" s="80"/>
      <x:c r="N353" s="81"/>
    </x:row>
    <x:row r="354">
      <x:c r="A354" s="325"/>
      <x:c r="B354" s="328"/>
      <x:c r="C354" s="75"/>
      <x:c r="D354" s="81"/>
      <x:c r="E354" s="93" t="n">
        <x:f>IFERROR(VLOOKUP(D354,'Assumptions'!$A$19:$C$23,3,FALSE),0)</x:f>
        <x:v>0</x:v>
      </x:c>
      <x:c r="F354" s="94"/>
      <x:c r="G354" s="93" t="n">
        <x:f>IF(D354="",0,E354+F354)</x:f>
        <x:v>0</x:v>
      </x:c>
      <x:c r="H354" s="98" t="n">
        <x:f>IFERROR(VLOOKUP(D354,'Assumptions'!$A$19:$C$23,2,FALSE),0)</x:f>
        <x:v>0</x:v>
      </x:c>
      <x:c r="I354" s="93" t="n">
        <x:f>IF(D354="",0,H354*'Assumptions'!$B$10)</x:f>
        <x:v>0</x:v>
      </x:c>
      <x:c r="J354" s="337" t="n">
        <x:f>IF(D354="",0,G354-I354)</x:f>
        <x:v>0</x:v>
      </x:c>
      <x:c r="K354" s="331" t="n">
        <x:f>IF(G354=0,0,J354/G354)</x:f>
        <x:v>0</x:v>
      </x:c>
      <x:c r="L354" s="343" t="n">
        <x:f>IF(D354="",0,J354-I354*'Assumptions'!$B$11)</x:f>
        <x:v>0</x:v>
      </x:c>
      <x:c r="M354" s="80"/>
      <x:c r="N354" s="81"/>
    </x:row>
    <x:row r="355">
      <x:c r="A355" s="325"/>
      <x:c r="B355" s="328"/>
      <x:c r="C355" s="75"/>
      <x:c r="D355" s="81"/>
      <x:c r="E355" s="93" t="n">
        <x:f>IFERROR(VLOOKUP(D355,'Assumptions'!$A$19:$C$23,3,FALSE),0)</x:f>
        <x:v>0</x:v>
      </x:c>
      <x:c r="F355" s="94"/>
      <x:c r="G355" s="93" t="n">
        <x:f>IF(D355="",0,E355+F355)</x:f>
        <x:v>0</x:v>
      </x:c>
      <x:c r="H355" s="98" t="n">
        <x:f>IFERROR(VLOOKUP(D355,'Assumptions'!$A$19:$C$23,2,FALSE),0)</x:f>
        <x:v>0</x:v>
      </x:c>
      <x:c r="I355" s="93" t="n">
        <x:f>IF(D355="",0,H355*'Assumptions'!$B$10)</x:f>
        <x:v>0</x:v>
      </x:c>
      <x:c r="J355" s="337" t="n">
        <x:f>IF(D355="",0,G355-I355)</x:f>
        <x:v>0</x:v>
      </x:c>
      <x:c r="K355" s="331" t="n">
        <x:f>IF(G355=0,0,J355/G355)</x:f>
        <x:v>0</x:v>
      </x:c>
      <x:c r="L355" s="343" t="n">
        <x:f>IF(D355="",0,J355-I355*'Assumptions'!$B$11)</x:f>
        <x:v>0</x:v>
      </x:c>
      <x:c r="M355" s="80"/>
      <x:c r="N355" s="81"/>
    </x:row>
    <x:row r="356">
      <x:c r="A356" s="325"/>
      <x:c r="B356" s="328"/>
      <x:c r="C356" s="75"/>
      <x:c r="D356" s="81"/>
      <x:c r="E356" s="93" t="n">
        <x:f>IFERROR(VLOOKUP(D356,'Assumptions'!$A$19:$C$23,3,FALSE),0)</x:f>
        <x:v>0</x:v>
      </x:c>
      <x:c r="F356" s="94"/>
      <x:c r="G356" s="93" t="n">
        <x:f>IF(D356="",0,E356+F356)</x:f>
        <x:v>0</x:v>
      </x:c>
      <x:c r="H356" s="98" t="n">
        <x:f>IFERROR(VLOOKUP(D356,'Assumptions'!$A$19:$C$23,2,FALSE),0)</x:f>
        <x:v>0</x:v>
      </x:c>
      <x:c r="I356" s="93" t="n">
        <x:f>IF(D356="",0,H356*'Assumptions'!$B$10)</x:f>
        <x:v>0</x:v>
      </x:c>
      <x:c r="J356" s="337" t="n">
        <x:f>IF(D356="",0,G356-I356)</x:f>
        <x:v>0</x:v>
      </x:c>
      <x:c r="K356" s="331" t="n">
        <x:f>IF(G356=0,0,J356/G356)</x:f>
        <x:v>0</x:v>
      </x:c>
      <x:c r="L356" s="343" t="n">
        <x:f>IF(D356="",0,J356-I356*'Assumptions'!$B$11)</x:f>
        <x:v>0</x:v>
      </x:c>
      <x:c r="M356" s="80"/>
      <x:c r="N356" s="81"/>
    </x:row>
    <x:row r="357">
      <x:c r="A357" s="325"/>
      <x:c r="B357" s="328"/>
      <x:c r="C357" s="75"/>
      <x:c r="D357" s="81"/>
      <x:c r="E357" s="93" t="n">
        <x:f>IFERROR(VLOOKUP(D357,'Assumptions'!$A$19:$C$23,3,FALSE),0)</x:f>
        <x:v>0</x:v>
      </x:c>
      <x:c r="F357" s="94"/>
      <x:c r="G357" s="93" t="n">
        <x:f>IF(D357="",0,E357+F357)</x:f>
        <x:v>0</x:v>
      </x:c>
      <x:c r="H357" s="98" t="n">
        <x:f>IFERROR(VLOOKUP(D357,'Assumptions'!$A$19:$C$23,2,FALSE),0)</x:f>
        <x:v>0</x:v>
      </x:c>
      <x:c r="I357" s="93" t="n">
        <x:f>IF(D357="",0,H357*'Assumptions'!$B$10)</x:f>
        <x:v>0</x:v>
      </x:c>
      <x:c r="J357" s="337" t="n">
        <x:f>IF(D357="",0,G357-I357)</x:f>
        <x:v>0</x:v>
      </x:c>
      <x:c r="K357" s="331" t="n">
        <x:f>IF(G357=0,0,J357/G357)</x:f>
        <x:v>0</x:v>
      </x:c>
      <x:c r="L357" s="343" t="n">
        <x:f>IF(D357="",0,J357-I357*'Assumptions'!$B$11)</x:f>
        <x:v>0</x:v>
      </x:c>
      <x:c r="M357" s="80"/>
      <x:c r="N357" s="81"/>
    </x:row>
    <x:row r="358">
      <x:c r="A358" s="325"/>
      <x:c r="B358" s="328"/>
      <x:c r="C358" s="75"/>
      <x:c r="D358" s="81"/>
      <x:c r="E358" s="93" t="n">
        <x:f>IFERROR(VLOOKUP(D358,'Assumptions'!$A$19:$C$23,3,FALSE),0)</x:f>
        <x:v>0</x:v>
      </x:c>
      <x:c r="F358" s="94"/>
      <x:c r="G358" s="93" t="n">
        <x:f>IF(D358="",0,E358+F358)</x:f>
        <x:v>0</x:v>
      </x:c>
      <x:c r="H358" s="98" t="n">
        <x:f>IFERROR(VLOOKUP(D358,'Assumptions'!$A$19:$C$23,2,FALSE),0)</x:f>
        <x:v>0</x:v>
      </x:c>
      <x:c r="I358" s="93" t="n">
        <x:f>IF(D358="",0,H358*'Assumptions'!$B$10)</x:f>
        <x:v>0</x:v>
      </x:c>
      <x:c r="J358" s="337" t="n">
        <x:f>IF(D358="",0,G358-I358)</x:f>
        <x:v>0</x:v>
      </x:c>
      <x:c r="K358" s="331" t="n">
        <x:f>IF(G358=0,0,J358/G358)</x:f>
        <x:v>0</x:v>
      </x:c>
      <x:c r="L358" s="343" t="n">
        <x:f>IF(D358="",0,J358-I358*'Assumptions'!$B$11)</x:f>
        <x:v>0</x:v>
      </x:c>
      <x:c r="M358" s="80"/>
      <x:c r="N358" s="81"/>
    </x:row>
    <x:row r="359">
      <x:c r="A359" s="325"/>
      <x:c r="B359" s="328"/>
      <x:c r="C359" s="75"/>
      <x:c r="D359" s="81"/>
      <x:c r="E359" s="93" t="n">
        <x:f>IFERROR(VLOOKUP(D359,'Assumptions'!$A$19:$C$23,3,FALSE),0)</x:f>
        <x:v>0</x:v>
      </x:c>
      <x:c r="F359" s="94"/>
      <x:c r="G359" s="93" t="n">
        <x:f>IF(D359="",0,E359+F359)</x:f>
        <x:v>0</x:v>
      </x:c>
      <x:c r="H359" s="98" t="n">
        <x:f>IFERROR(VLOOKUP(D359,'Assumptions'!$A$19:$C$23,2,FALSE),0)</x:f>
        <x:v>0</x:v>
      </x:c>
      <x:c r="I359" s="93" t="n">
        <x:f>IF(D359="",0,H359*'Assumptions'!$B$10)</x:f>
        <x:v>0</x:v>
      </x:c>
      <x:c r="J359" s="337" t="n">
        <x:f>IF(D359="",0,G359-I359)</x:f>
        <x:v>0</x:v>
      </x:c>
      <x:c r="K359" s="331" t="n">
        <x:f>IF(G359=0,0,J359/G359)</x:f>
        <x:v>0</x:v>
      </x:c>
      <x:c r="L359" s="343" t="n">
        <x:f>IF(D359="",0,J359-I359*'Assumptions'!$B$11)</x:f>
        <x:v>0</x:v>
      </x:c>
      <x:c r="M359" s="80"/>
      <x:c r="N359" s="81"/>
    </x:row>
    <x:row r="360">
      <x:c r="A360" s="325"/>
      <x:c r="B360" s="328"/>
      <x:c r="C360" s="75"/>
      <x:c r="D360" s="81"/>
      <x:c r="E360" s="93" t="n">
        <x:f>IFERROR(VLOOKUP(D360,'Assumptions'!$A$19:$C$23,3,FALSE),0)</x:f>
        <x:v>0</x:v>
      </x:c>
      <x:c r="F360" s="94"/>
      <x:c r="G360" s="93" t="n">
        <x:f>IF(D360="",0,E360+F360)</x:f>
        <x:v>0</x:v>
      </x:c>
      <x:c r="H360" s="98" t="n">
        <x:f>IFERROR(VLOOKUP(D360,'Assumptions'!$A$19:$C$23,2,FALSE),0)</x:f>
        <x:v>0</x:v>
      </x:c>
      <x:c r="I360" s="93" t="n">
        <x:f>IF(D360="",0,H360*'Assumptions'!$B$10)</x:f>
        <x:v>0</x:v>
      </x:c>
      <x:c r="J360" s="337" t="n">
        <x:f>IF(D360="",0,G360-I360)</x:f>
        <x:v>0</x:v>
      </x:c>
      <x:c r="K360" s="331" t="n">
        <x:f>IF(G360=0,0,J360/G360)</x:f>
        <x:v>0</x:v>
      </x:c>
      <x:c r="L360" s="343" t="n">
        <x:f>IF(D360="",0,J360-I360*'Assumptions'!$B$11)</x:f>
        <x:v>0</x:v>
      </x:c>
      <x:c r="M360" s="80"/>
      <x:c r="N360" s="81"/>
    </x:row>
    <x:row r="361">
      <x:c r="A361" s="325"/>
      <x:c r="B361" s="328"/>
      <x:c r="C361" s="75"/>
      <x:c r="D361" s="81"/>
      <x:c r="E361" s="93" t="n">
        <x:f>IFERROR(VLOOKUP(D361,'Assumptions'!$A$19:$C$23,3,FALSE),0)</x:f>
        <x:v>0</x:v>
      </x:c>
      <x:c r="F361" s="94"/>
      <x:c r="G361" s="93" t="n">
        <x:f>IF(D361="",0,E361+F361)</x:f>
        <x:v>0</x:v>
      </x:c>
      <x:c r="H361" s="98" t="n">
        <x:f>IFERROR(VLOOKUP(D361,'Assumptions'!$A$19:$C$23,2,FALSE),0)</x:f>
        <x:v>0</x:v>
      </x:c>
      <x:c r="I361" s="93" t="n">
        <x:f>IF(D361="",0,H361*'Assumptions'!$B$10)</x:f>
        <x:v>0</x:v>
      </x:c>
      <x:c r="J361" s="337" t="n">
        <x:f>IF(D361="",0,G361-I361)</x:f>
        <x:v>0</x:v>
      </x:c>
      <x:c r="K361" s="331" t="n">
        <x:f>IF(G361=0,0,J361/G361)</x:f>
        <x:v>0</x:v>
      </x:c>
      <x:c r="L361" s="343" t="n">
        <x:f>IF(D361="",0,J361-I361*'Assumptions'!$B$11)</x:f>
        <x:v>0</x:v>
      </x:c>
      <x:c r="M361" s="80"/>
      <x:c r="N361" s="81"/>
    </x:row>
    <x:row r="362">
      <x:c r="A362" s="325"/>
      <x:c r="B362" s="328"/>
      <x:c r="C362" s="75"/>
      <x:c r="D362" s="81"/>
      <x:c r="E362" s="93" t="n">
        <x:f>IFERROR(VLOOKUP(D362,'Assumptions'!$A$19:$C$23,3,FALSE),0)</x:f>
        <x:v>0</x:v>
      </x:c>
      <x:c r="F362" s="94"/>
      <x:c r="G362" s="93" t="n">
        <x:f>IF(D362="",0,E362+F362)</x:f>
        <x:v>0</x:v>
      </x:c>
      <x:c r="H362" s="98" t="n">
        <x:f>IFERROR(VLOOKUP(D362,'Assumptions'!$A$19:$C$23,2,FALSE),0)</x:f>
        <x:v>0</x:v>
      </x:c>
      <x:c r="I362" s="93" t="n">
        <x:f>IF(D362="",0,H362*'Assumptions'!$B$10)</x:f>
        <x:v>0</x:v>
      </x:c>
      <x:c r="J362" s="337" t="n">
        <x:f>IF(D362="",0,G362-I362)</x:f>
        <x:v>0</x:v>
      </x:c>
      <x:c r="K362" s="331" t="n">
        <x:f>IF(G362=0,0,J362/G362)</x:f>
        <x:v>0</x:v>
      </x:c>
      <x:c r="L362" s="343" t="n">
        <x:f>IF(D362="",0,J362-I362*'Assumptions'!$B$11)</x:f>
        <x:v>0</x:v>
      </x:c>
      <x:c r="M362" s="80"/>
      <x:c r="N362" s="81"/>
    </x:row>
    <x:row r="363">
      <x:c r="A363" s="325"/>
      <x:c r="B363" s="328"/>
      <x:c r="C363" s="75"/>
      <x:c r="D363" s="81"/>
      <x:c r="E363" s="93" t="n">
        <x:f>IFERROR(VLOOKUP(D363,'Assumptions'!$A$19:$C$23,3,FALSE),0)</x:f>
        <x:v>0</x:v>
      </x:c>
      <x:c r="F363" s="94"/>
      <x:c r="G363" s="93" t="n">
        <x:f>IF(D363="",0,E363+F363)</x:f>
        <x:v>0</x:v>
      </x:c>
      <x:c r="H363" s="98" t="n">
        <x:f>IFERROR(VLOOKUP(D363,'Assumptions'!$A$19:$C$23,2,FALSE),0)</x:f>
        <x:v>0</x:v>
      </x:c>
      <x:c r="I363" s="93" t="n">
        <x:f>IF(D363="",0,H363*'Assumptions'!$B$10)</x:f>
        <x:v>0</x:v>
      </x:c>
      <x:c r="J363" s="337" t="n">
        <x:f>IF(D363="",0,G363-I363)</x:f>
        <x:v>0</x:v>
      </x:c>
      <x:c r="K363" s="331" t="n">
        <x:f>IF(G363=0,0,J363/G363)</x:f>
        <x:v>0</x:v>
      </x:c>
      <x:c r="L363" s="343" t="n">
        <x:f>IF(D363="",0,J363-I363*'Assumptions'!$B$11)</x:f>
        <x:v>0</x:v>
      </x:c>
      <x:c r="M363" s="80"/>
      <x:c r="N363" s="81"/>
    </x:row>
    <x:row r="364">
      <x:c r="A364" s="325"/>
      <x:c r="B364" s="328"/>
      <x:c r="C364" s="75"/>
      <x:c r="D364" s="81"/>
      <x:c r="E364" s="93" t="n">
        <x:f>IFERROR(VLOOKUP(D364,'Assumptions'!$A$19:$C$23,3,FALSE),0)</x:f>
        <x:v>0</x:v>
      </x:c>
      <x:c r="F364" s="94"/>
      <x:c r="G364" s="93" t="n">
        <x:f>IF(D364="",0,E364+F364)</x:f>
        <x:v>0</x:v>
      </x:c>
      <x:c r="H364" s="98" t="n">
        <x:f>IFERROR(VLOOKUP(D364,'Assumptions'!$A$19:$C$23,2,FALSE),0)</x:f>
        <x:v>0</x:v>
      </x:c>
      <x:c r="I364" s="93" t="n">
        <x:f>IF(D364="",0,H364*'Assumptions'!$B$10)</x:f>
        <x:v>0</x:v>
      </x:c>
      <x:c r="J364" s="337" t="n">
        <x:f>IF(D364="",0,G364-I364)</x:f>
        <x:v>0</x:v>
      </x:c>
      <x:c r="K364" s="331" t="n">
        <x:f>IF(G364=0,0,J364/G364)</x:f>
        <x:v>0</x:v>
      </x:c>
      <x:c r="L364" s="343" t="n">
        <x:f>IF(D364="",0,J364-I364*'Assumptions'!$B$11)</x:f>
        <x:v>0</x:v>
      </x:c>
      <x:c r="M364" s="80"/>
      <x:c r="N364" s="81"/>
    </x:row>
    <x:row r="365">
      <x:c r="A365" s="325"/>
      <x:c r="B365" s="328"/>
      <x:c r="C365" s="75"/>
      <x:c r="D365" s="81"/>
      <x:c r="E365" s="93" t="n">
        <x:f>IFERROR(VLOOKUP(D365,'Assumptions'!$A$19:$C$23,3,FALSE),0)</x:f>
        <x:v>0</x:v>
      </x:c>
      <x:c r="F365" s="94"/>
      <x:c r="G365" s="93" t="n">
        <x:f>IF(D365="",0,E365+F365)</x:f>
        <x:v>0</x:v>
      </x:c>
      <x:c r="H365" s="98" t="n">
        <x:f>IFERROR(VLOOKUP(D365,'Assumptions'!$A$19:$C$23,2,FALSE),0)</x:f>
        <x:v>0</x:v>
      </x:c>
      <x:c r="I365" s="93" t="n">
        <x:f>IF(D365="",0,H365*'Assumptions'!$B$10)</x:f>
        <x:v>0</x:v>
      </x:c>
      <x:c r="J365" s="337" t="n">
        <x:f>IF(D365="",0,G365-I365)</x:f>
        <x:v>0</x:v>
      </x:c>
      <x:c r="K365" s="331" t="n">
        <x:f>IF(G365=0,0,J365/G365)</x:f>
        <x:v>0</x:v>
      </x:c>
      <x:c r="L365" s="343" t="n">
        <x:f>IF(D365="",0,J365-I365*'Assumptions'!$B$11)</x:f>
        <x:v>0</x:v>
      </x:c>
      <x:c r="M365" s="80"/>
      <x:c r="N365" s="81"/>
    </x:row>
    <x:row r="366">
      <x:c r="A366" s="325"/>
      <x:c r="B366" s="328"/>
      <x:c r="C366" s="75"/>
      <x:c r="D366" s="81"/>
      <x:c r="E366" s="93" t="n">
        <x:f>IFERROR(VLOOKUP(D366,'Assumptions'!$A$19:$C$23,3,FALSE),0)</x:f>
        <x:v>0</x:v>
      </x:c>
      <x:c r="F366" s="94"/>
      <x:c r="G366" s="93" t="n">
        <x:f>IF(D366="",0,E366+F366)</x:f>
        <x:v>0</x:v>
      </x:c>
      <x:c r="H366" s="98" t="n">
        <x:f>IFERROR(VLOOKUP(D366,'Assumptions'!$A$19:$C$23,2,FALSE),0)</x:f>
        <x:v>0</x:v>
      </x:c>
      <x:c r="I366" s="93" t="n">
        <x:f>IF(D366="",0,H366*'Assumptions'!$B$10)</x:f>
        <x:v>0</x:v>
      </x:c>
      <x:c r="J366" s="337" t="n">
        <x:f>IF(D366="",0,G366-I366)</x:f>
        <x:v>0</x:v>
      </x:c>
      <x:c r="K366" s="331" t="n">
        <x:f>IF(G366=0,0,J366/G366)</x:f>
        <x:v>0</x:v>
      </x:c>
      <x:c r="L366" s="343" t="n">
        <x:f>IF(D366="",0,J366-I366*'Assumptions'!$B$11)</x:f>
        <x:v>0</x:v>
      </x:c>
      <x:c r="M366" s="80"/>
      <x:c r="N366" s="81"/>
    </x:row>
    <x:row r="367">
      <x:c r="A367" s="325"/>
      <x:c r="B367" s="328"/>
      <x:c r="C367" s="75"/>
      <x:c r="D367" s="81"/>
      <x:c r="E367" s="93" t="n">
        <x:f>IFERROR(VLOOKUP(D367,'Assumptions'!$A$19:$C$23,3,FALSE),0)</x:f>
        <x:v>0</x:v>
      </x:c>
      <x:c r="F367" s="94"/>
      <x:c r="G367" s="93" t="n">
        <x:f>IF(D367="",0,E367+F367)</x:f>
        <x:v>0</x:v>
      </x:c>
      <x:c r="H367" s="98" t="n">
        <x:f>IFERROR(VLOOKUP(D367,'Assumptions'!$A$19:$C$23,2,FALSE),0)</x:f>
        <x:v>0</x:v>
      </x:c>
      <x:c r="I367" s="93" t="n">
        <x:f>IF(D367="",0,H367*'Assumptions'!$B$10)</x:f>
        <x:v>0</x:v>
      </x:c>
      <x:c r="J367" s="337" t="n">
        <x:f>IF(D367="",0,G367-I367)</x:f>
        <x:v>0</x:v>
      </x:c>
      <x:c r="K367" s="331" t="n">
        <x:f>IF(G367=0,0,J367/G367)</x:f>
        <x:v>0</x:v>
      </x:c>
      <x:c r="L367" s="343" t="n">
        <x:f>IF(D367="",0,J367-I367*'Assumptions'!$B$11)</x:f>
        <x:v>0</x:v>
      </x:c>
      <x:c r="M367" s="80"/>
      <x:c r="N367" s="81"/>
    </x:row>
    <x:row r="368">
      <x:c r="A368" s="325"/>
      <x:c r="B368" s="328"/>
      <x:c r="C368" s="75"/>
      <x:c r="D368" s="81"/>
      <x:c r="E368" s="93" t="n">
        <x:f>IFERROR(VLOOKUP(D368,'Assumptions'!$A$19:$C$23,3,FALSE),0)</x:f>
        <x:v>0</x:v>
      </x:c>
      <x:c r="F368" s="94"/>
      <x:c r="G368" s="93" t="n">
        <x:f>IF(D368="",0,E368+F368)</x:f>
        <x:v>0</x:v>
      </x:c>
      <x:c r="H368" s="98" t="n">
        <x:f>IFERROR(VLOOKUP(D368,'Assumptions'!$A$19:$C$23,2,FALSE),0)</x:f>
        <x:v>0</x:v>
      </x:c>
      <x:c r="I368" s="93" t="n">
        <x:f>IF(D368="",0,H368*'Assumptions'!$B$10)</x:f>
        <x:v>0</x:v>
      </x:c>
      <x:c r="J368" s="337" t="n">
        <x:f>IF(D368="",0,G368-I368)</x:f>
        <x:v>0</x:v>
      </x:c>
      <x:c r="K368" s="331" t="n">
        <x:f>IF(G368=0,0,J368/G368)</x:f>
        <x:v>0</x:v>
      </x:c>
      <x:c r="L368" s="343" t="n">
        <x:f>IF(D368="",0,J368-I368*'Assumptions'!$B$11)</x:f>
        <x:v>0</x:v>
      </x:c>
      <x:c r="M368" s="80"/>
      <x:c r="N368" s="81"/>
    </x:row>
    <x:row r="369">
      <x:c r="A369" s="325"/>
      <x:c r="B369" s="328"/>
      <x:c r="C369" s="75"/>
      <x:c r="D369" s="81"/>
      <x:c r="E369" s="93" t="n">
        <x:f>IFERROR(VLOOKUP(D369,'Assumptions'!$A$19:$C$23,3,FALSE),0)</x:f>
        <x:v>0</x:v>
      </x:c>
      <x:c r="F369" s="94"/>
      <x:c r="G369" s="93" t="n">
        <x:f>IF(D369="",0,E369+F369)</x:f>
        <x:v>0</x:v>
      </x:c>
      <x:c r="H369" s="98" t="n">
        <x:f>IFERROR(VLOOKUP(D369,'Assumptions'!$A$19:$C$23,2,FALSE),0)</x:f>
        <x:v>0</x:v>
      </x:c>
      <x:c r="I369" s="93" t="n">
        <x:f>IF(D369="",0,H369*'Assumptions'!$B$10)</x:f>
        <x:v>0</x:v>
      </x:c>
      <x:c r="J369" s="337" t="n">
        <x:f>IF(D369="",0,G369-I369)</x:f>
        <x:v>0</x:v>
      </x:c>
      <x:c r="K369" s="331" t="n">
        <x:f>IF(G369=0,0,J369/G369)</x:f>
        <x:v>0</x:v>
      </x:c>
      <x:c r="L369" s="343" t="n">
        <x:f>IF(D369="",0,J369-I369*'Assumptions'!$B$11)</x:f>
        <x:v>0</x:v>
      </x:c>
      <x:c r="M369" s="80"/>
      <x:c r="N369" s="81"/>
    </x:row>
    <x:row r="370">
      <x:c r="A370" s="325"/>
      <x:c r="B370" s="328"/>
      <x:c r="C370" s="75"/>
      <x:c r="D370" s="81"/>
      <x:c r="E370" s="93" t="n">
        <x:f>IFERROR(VLOOKUP(D370,'Assumptions'!$A$19:$C$23,3,FALSE),0)</x:f>
        <x:v>0</x:v>
      </x:c>
      <x:c r="F370" s="94"/>
      <x:c r="G370" s="93" t="n">
        <x:f>IF(D370="",0,E370+F370)</x:f>
        <x:v>0</x:v>
      </x:c>
      <x:c r="H370" s="98" t="n">
        <x:f>IFERROR(VLOOKUP(D370,'Assumptions'!$A$19:$C$23,2,FALSE),0)</x:f>
        <x:v>0</x:v>
      </x:c>
      <x:c r="I370" s="93" t="n">
        <x:f>IF(D370="",0,H370*'Assumptions'!$B$10)</x:f>
        <x:v>0</x:v>
      </x:c>
      <x:c r="J370" s="337" t="n">
        <x:f>IF(D370="",0,G370-I370)</x:f>
        <x:v>0</x:v>
      </x:c>
      <x:c r="K370" s="331" t="n">
        <x:f>IF(G370=0,0,J370/G370)</x:f>
        <x:v>0</x:v>
      </x:c>
      <x:c r="L370" s="343" t="n">
        <x:f>IF(D370="",0,J370-I370*'Assumptions'!$B$11)</x:f>
        <x:v>0</x:v>
      </x:c>
      <x:c r="M370" s="80"/>
      <x:c r="N370" s="81"/>
    </x:row>
    <x:row r="371">
      <x:c r="A371" s="325"/>
      <x:c r="B371" s="328"/>
      <x:c r="C371" s="75"/>
      <x:c r="D371" s="81"/>
      <x:c r="E371" s="93" t="n">
        <x:f>IFERROR(VLOOKUP(D371,'Assumptions'!$A$19:$C$23,3,FALSE),0)</x:f>
        <x:v>0</x:v>
      </x:c>
      <x:c r="F371" s="94"/>
      <x:c r="G371" s="93" t="n">
        <x:f>IF(D371="",0,E371+F371)</x:f>
        <x:v>0</x:v>
      </x:c>
      <x:c r="H371" s="98" t="n">
        <x:f>IFERROR(VLOOKUP(D371,'Assumptions'!$A$19:$C$23,2,FALSE),0)</x:f>
        <x:v>0</x:v>
      </x:c>
      <x:c r="I371" s="93" t="n">
        <x:f>IF(D371="",0,H371*'Assumptions'!$B$10)</x:f>
        <x:v>0</x:v>
      </x:c>
      <x:c r="J371" s="337" t="n">
        <x:f>IF(D371="",0,G371-I371)</x:f>
        <x:v>0</x:v>
      </x:c>
      <x:c r="K371" s="331" t="n">
        <x:f>IF(G371=0,0,J371/G371)</x:f>
        <x:v>0</x:v>
      </x:c>
      <x:c r="L371" s="343" t="n">
        <x:f>IF(D371="",0,J371-I371*'Assumptions'!$B$11)</x:f>
        <x:v>0</x:v>
      </x:c>
      <x:c r="M371" s="80"/>
      <x:c r="N371" s="81"/>
    </x:row>
    <x:row r="372">
      <x:c r="A372" s="325"/>
      <x:c r="B372" s="328"/>
      <x:c r="C372" s="75"/>
      <x:c r="D372" s="81"/>
      <x:c r="E372" s="93" t="n">
        <x:f>IFERROR(VLOOKUP(D372,'Assumptions'!$A$19:$C$23,3,FALSE),0)</x:f>
        <x:v>0</x:v>
      </x:c>
      <x:c r="F372" s="94"/>
      <x:c r="G372" s="93" t="n">
        <x:f>IF(D372="",0,E372+F372)</x:f>
        <x:v>0</x:v>
      </x:c>
      <x:c r="H372" s="98" t="n">
        <x:f>IFERROR(VLOOKUP(D372,'Assumptions'!$A$19:$C$23,2,FALSE),0)</x:f>
        <x:v>0</x:v>
      </x:c>
      <x:c r="I372" s="93" t="n">
        <x:f>IF(D372="",0,H372*'Assumptions'!$B$10)</x:f>
        <x:v>0</x:v>
      </x:c>
      <x:c r="J372" s="337" t="n">
        <x:f>IF(D372="",0,G372-I372)</x:f>
        <x:v>0</x:v>
      </x:c>
      <x:c r="K372" s="331" t="n">
        <x:f>IF(G372=0,0,J372/G372)</x:f>
        <x:v>0</x:v>
      </x:c>
      <x:c r="L372" s="343" t="n">
        <x:f>IF(D372="",0,J372-I372*'Assumptions'!$B$11)</x:f>
        <x:v>0</x:v>
      </x:c>
      <x:c r="M372" s="80"/>
      <x:c r="N372" s="81"/>
    </x:row>
    <x:row r="373">
      <x:c r="A373" s="325"/>
      <x:c r="B373" s="328"/>
      <x:c r="C373" s="75"/>
      <x:c r="D373" s="81"/>
      <x:c r="E373" s="93" t="n">
        <x:f>IFERROR(VLOOKUP(D373,'Assumptions'!$A$19:$C$23,3,FALSE),0)</x:f>
        <x:v>0</x:v>
      </x:c>
      <x:c r="F373" s="94"/>
      <x:c r="G373" s="93" t="n">
        <x:f>IF(D373="",0,E373+F373)</x:f>
        <x:v>0</x:v>
      </x:c>
      <x:c r="H373" s="98" t="n">
        <x:f>IFERROR(VLOOKUP(D373,'Assumptions'!$A$19:$C$23,2,FALSE),0)</x:f>
        <x:v>0</x:v>
      </x:c>
      <x:c r="I373" s="93" t="n">
        <x:f>IF(D373="",0,H373*'Assumptions'!$B$10)</x:f>
        <x:v>0</x:v>
      </x:c>
      <x:c r="J373" s="337" t="n">
        <x:f>IF(D373="",0,G373-I373)</x:f>
        <x:v>0</x:v>
      </x:c>
      <x:c r="K373" s="331" t="n">
        <x:f>IF(G373=0,0,J373/G373)</x:f>
        <x:v>0</x:v>
      </x:c>
      <x:c r="L373" s="343" t="n">
        <x:f>IF(D373="",0,J373-I373*'Assumptions'!$B$11)</x:f>
        <x:v>0</x:v>
      </x:c>
      <x:c r="M373" s="80"/>
      <x:c r="N373" s="81"/>
    </x:row>
    <x:row r="374">
      <x:c r="A374" s="325"/>
      <x:c r="B374" s="328"/>
      <x:c r="C374" s="75"/>
      <x:c r="D374" s="81"/>
      <x:c r="E374" s="93" t="n">
        <x:f>IFERROR(VLOOKUP(D374,'Assumptions'!$A$19:$C$23,3,FALSE),0)</x:f>
        <x:v>0</x:v>
      </x:c>
      <x:c r="F374" s="94"/>
      <x:c r="G374" s="93" t="n">
        <x:f>IF(D374="",0,E374+F374)</x:f>
        <x:v>0</x:v>
      </x:c>
      <x:c r="H374" s="98" t="n">
        <x:f>IFERROR(VLOOKUP(D374,'Assumptions'!$A$19:$C$23,2,FALSE),0)</x:f>
        <x:v>0</x:v>
      </x:c>
      <x:c r="I374" s="93" t="n">
        <x:f>IF(D374="",0,H374*'Assumptions'!$B$10)</x:f>
        <x:v>0</x:v>
      </x:c>
      <x:c r="J374" s="337" t="n">
        <x:f>IF(D374="",0,G374-I374)</x:f>
        <x:v>0</x:v>
      </x:c>
      <x:c r="K374" s="331" t="n">
        <x:f>IF(G374=0,0,J374/G374)</x:f>
        <x:v>0</x:v>
      </x:c>
      <x:c r="L374" s="343" t="n">
        <x:f>IF(D374="",0,J374-I374*'Assumptions'!$B$11)</x:f>
        <x:v>0</x:v>
      </x:c>
      <x:c r="M374" s="80"/>
      <x:c r="N374" s="81"/>
    </x:row>
    <x:row r="375">
      <x:c r="A375" s="325"/>
      <x:c r="B375" s="328"/>
      <x:c r="C375" s="75"/>
      <x:c r="D375" s="81"/>
      <x:c r="E375" s="93" t="n">
        <x:f>IFERROR(VLOOKUP(D375,'Assumptions'!$A$19:$C$23,3,FALSE),0)</x:f>
        <x:v>0</x:v>
      </x:c>
      <x:c r="F375" s="94"/>
      <x:c r="G375" s="93" t="n">
        <x:f>IF(D375="",0,E375+F375)</x:f>
        <x:v>0</x:v>
      </x:c>
      <x:c r="H375" s="98" t="n">
        <x:f>IFERROR(VLOOKUP(D375,'Assumptions'!$A$19:$C$23,2,FALSE),0)</x:f>
        <x:v>0</x:v>
      </x:c>
      <x:c r="I375" s="93" t="n">
        <x:f>IF(D375="",0,H375*'Assumptions'!$B$10)</x:f>
        <x:v>0</x:v>
      </x:c>
      <x:c r="J375" s="337" t="n">
        <x:f>IF(D375="",0,G375-I375)</x:f>
        <x:v>0</x:v>
      </x:c>
      <x:c r="K375" s="331" t="n">
        <x:f>IF(G375=0,0,J375/G375)</x:f>
        <x:v>0</x:v>
      </x:c>
      <x:c r="L375" s="343" t="n">
        <x:f>IF(D375="",0,J375-I375*'Assumptions'!$B$11)</x:f>
        <x:v>0</x:v>
      </x:c>
      <x:c r="M375" s="80"/>
      <x:c r="N375" s="81"/>
    </x:row>
    <x:row r="376">
      <x:c r="A376" s="325"/>
      <x:c r="B376" s="328"/>
      <x:c r="C376" s="75"/>
      <x:c r="D376" s="81"/>
      <x:c r="E376" s="93" t="n">
        <x:f>IFERROR(VLOOKUP(D376,'Assumptions'!$A$19:$C$23,3,FALSE),0)</x:f>
        <x:v>0</x:v>
      </x:c>
      <x:c r="F376" s="94"/>
      <x:c r="G376" s="93" t="n">
        <x:f>IF(D376="",0,E376+F376)</x:f>
        <x:v>0</x:v>
      </x:c>
      <x:c r="H376" s="98" t="n">
        <x:f>IFERROR(VLOOKUP(D376,'Assumptions'!$A$19:$C$23,2,FALSE),0)</x:f>
        <x:v>0</x:v>
      </x:c>
      <x:c r="I376" s="93" t="n">
        <x:f>IF(D376="",0,H376*'Assumptions'!$B$10)</x:f>
        <x:v>0</x:v>
      </x:c>
      <x:c r="J376" s="337" t="n">
        <x:f>IF(D376="",0,G376-I376)</x:f>
        <x:v>0</x:v>
      </x:c>
      <x:c r="K376" s="331" t="n">
        <x:f>IF(G376=0,0,J376/G376)</x:f>
        <x:v>0</x:v>
      </x:c>
      <x:c r="L376" s="343" t="n">
        <x:f>IF(D376="",0,J376-I376*'Assumptions'!$B$11)</x:f>
        <x:v>0</x:v>
      </x:c>
      <x:c r="M376" s="80"/>
      <x:c r="N376" s="81"/>
    </x:row>
    <x:row r="377">
      <x:c r="A377" s="325"/>
      <x:c r="B377" s="328"/>
      <x:c r="C377" s="75"/>
      <x:c r="D377" s="81"/>
      <x:c r="E377" s="93" t="n">
        <x:f>IFERROR(VLOOKUP(D377,'Assumptions'!$A$19:$C$23,3,FALSE),0)</x:f>
        <x:v>0</x:v>
      </x:c>
      <x:c r="F377" s="94"/>
      <x:c r="G377" s="93" t="n">
        <x:f>IF(D377="",0,E377+F377)</x:f>
        <x:v>0</x:v>
      </x:c>
      <x:c r="H377" s="98" t="n">
        <x:f>IFERROR(VLOOKUP(D377,'Assumptions'!$A$19:$C$23,2,FALSE),0)</x:f>
        <x:v>0</x:v>
      </x:c>
      <x:c r="I377" s="93" t="n">
        <x:f>IF(D377="",0,H377*'Assumptions'!$B$10)</x:f>
        <x:v>0</x:v>
      </x:c>
      <x:c r="J377" s="337" t="n">
        <x:f>IF(D377="",0,G377-I377)</x:f>
        <x:v>0</x:v>
      </x:c>
      <x:c r="K377" s="331" t="n">
        <x:f>IF(G377=0,0,J377/G377)</x:f>
        <x:v>0</x:v>
      </x:c>
      <x:c r="L377" s="343" t="n">
        <x:f>IF(D377="",0,J377-I377*'Assumptions'!$B$11)</x:f>
        <x:v>0</x:v>
      </x:c>
      <x:c r="M377" s="80"/>
      <x:c r="N377" s="81"/>
    </x:row>
    <x:row r="378">
      <x:c r="A378" s="325"/>
      <x:c r="B378" s="328"/>
      <x:c r="C378" s="75"/>
      <x:c r="D378" s="81"/>
      <x:c r="E378" s="93" t="n">
        <x:f>IFERROR(VLOOKUP(D378,'Assumptions'!$A$19:$C$23,3,FALSE),0)</x:f>
        <x:v>0</x:v>
      </x:c>
      <x:c r="F378" s="94"/>
      <x:c r="G378" s="93" t="n">
        <x:f>IF(D378="",0,E378+F378)</x:f>
        <x:v>0</x:v>
      </x:c>
      <x:c r="H378" s="98" t="n">
        <x:f>IFERROR(VLOOKUP(D378,'Assumptions'!$A$19:$C$23,2,FALSE),0)</x:f>
        <x:v>0</x:v>
      </x:c>
      <x:c r="I378" s="93" t="n">
        <x:f>IF(D378="",0,H378*'Assumptions'!$B$10)</x:f>
        <x:v>0</x:v>
      </x:c>
      <x:c r="J378" s="337" t="n">
        <x:f>IF(D378="",0,G378-I378)</x:f>
        <x:v>0</x:v>
      </x:c>
      <x:c r="K378" s="331" t="n">
        <x:f>IF(G378=0,0,J378/G378)</x:f>
        <x:v>0</x:v>
      </x:c>
      <x:c r="L378" s="343" t="n">
        <x:f>IF(D378="",0,J378-I378*'Assumptions'!$B$11)</x:f>
        <x:v>0</x:v>
      </x:c>
      <x:c r="M378" s="80"/>
      <x:c r="N378" s="81"/>
    </x:row>
    <x:row r="379">
      <x:c r="A379" s="325"/>
      <x:c r="B379" s="328"/>
      <x:c r="C379" s="75"/>
      <x:c r="D379" s="81"/>
      <x:c r="E379" s="93" t="n">
        <x:f>IFERROR(VLOOKUP(D379,'Assumptions'!$A$19:$C$23,3,FALSE),0)</x:f>
        <x:v>0</x:v>
      </x:c>
      <x:c r="F379" s="94"/>
      <x:c r="G379" s="93" t="n">
        <x:f>IF(D379="",0,E379+F379)</x:f>
        <x:v>0</x:v>
      </x:c>
      <x:c r="H379" s="98" t="n">
        <x:f>IFERROR(VLOOKUP(D379,'Assumptions'!$A$19:$C$23,2,FALSE),0)</x:f>
        <x:v>0</x:v>
      </x:c>
      <x:c r="I379" s="93" t="n">
        <x:f>IF(D379="",0,H379*'Assumptions'!$B$10)</x:f>
        <x:v>0</x:v>
      </x:c>
      <x:c r="J379" s="337" t="n">
        <x:f>IF(D379="",0,G379-I379)</x:f>
        <x:v>0</x:v>
      </x:c>
      <x:c r="K379" s="331" t="n">
        <x:f>IF(G379=0,0,J379/G379)</x:f>
        <x:v>0</x:v>
      </x:c>
      <x:c r="L379" s="343" t="n">
        <x:f>IF(D379="",0,J379-I379*'Assumptions'!$B$11)</x:f>
        <x:v>0</x:v>
      </x:c>
      <x:c r="M379" s="80"/>
      <x:c r="N379" s="81"/>
    </x:row>
    <x:row r="380">
      <x:c r="A380" s="325"/>
      <x:c r="B380" s="328"/>
      <x:c r="C380" s="75"/>
      <x:c r="D380" s="81"/>
      <x:c r="E380" s="93" t="n">
        <x:f>IFERROR(VLOOKUP(D380,'Assumptions'!$A$19:$C$23,3,FALSE),0)</x:f>
        <x:v>0</x:v>
      </x:c>
      <x:c r="F380" s="94"/>
      <x:c r="G380" s="93" t="n">
        <x:f>IF(D380="",0,E380+F380)</x:f>
        <x:v>0</x:v>
      </x:c>
      <x:c r="H380" s="98" t="n">
        <x:f>IFERROR(VLOOKUP(D380,'Assumptions'!$A$19:$C$23,2,FALSE),0)</x:f>
        <x:v>0</x:v>
      </x:c>
      <x:c r="I380" s="93" t="n">
        <x:f>IF(D380="",0,H380*'Assumptions'!$B$10)</x:f>
        <x:v>0</x:v>
      </x:c>
      <x:c r="J380" s="337" t="n">
        <x:f>IF(D380="",0,G380-I380)</x:f>
        <x:v>0</x:v>
      </x:c>
      <x:c r="K380" s="331" t="n">
        <x:f>IF(G380=0,0,J380/G380)</x:f>
        <x:v>0</x:v>
      </x:c>
      <x:c r="L380" s="343" t="n">
        <x:f>IF(D380="",0,J380-I380*'Assumptions'!$B$11)</x:f>
        <x:v>0</x:v>
      </x:c>
      <x:c r="M380" s="80"/>
      <x:c r="N380" s="81"/>
    </x:row>
    <x:row r="381">
      <x:c r="A381" s="325"/>
      <x:c r="B381" s="328"/>
      <x:c r="C381" s="75"/>
      <x:c r="D381" s="81"/>
      <x:c r="E381" s="93" t="n">
        <x:f>IFERROR(VLOOKUP(D381,'Assumptions'!$A$19:$C$23,3,FALSE),0)</x:f>
        <x:v>0</x:v>
      </x:c>
      <x:c r="F381" s="94"/>
      <x:c r="G381" s="93" t="n">
        <x:f>IF(D381="",0,E381+F381)</x:f>
        <x:v>0</x:v>
      </x:c>
      <x:c r="H381" s="98" t="n">
        <x:f>IFERROR(VLOOKUP(D381,'Assumptions'!$A$19:$C$23,2,FALSE),0)</x:f>
        <x:v>0</x:v>
      </x:c>
      <x:c r="I381" s="93" t="n">
        <x:f>IF(D381="",0,H381*'Assumptions'!$B$10)</x:f>
        <x:v>0</x:v>
      </x:c>
      <x:c r="J381" s="337" t="n">
        <x:f>IF(D381="",0,G381-I381)</x:f>
        <x:v>0</x:v>
      </x:c>
      <x:c r="K381" s="331" t="n">
        <x:f>IF(G381=0,0,J381/G381)</x:f>
        <x:v>0</x:v>
      </x:c>
      <x:c r="L381" s="343" t="n">
        <x:f>IF(D381="",0,J381-I381*'Assumptions'!$B$11)</x:f>
        <x:v>0</x:v>
      </x:c>
      <x:c r="M381" s="80"/>
      <x:c r="N381" s="81"/>
    </x:row>
    <x:row r="382">
      <x:c r="A382" s="325"/>
      <x:c r="B382" s="328"/>
      <x:c r="C382" s="75"/>
      <x:c r="D382" s="81"/>
      <x:c r="E382" s="93" t="n">
        <x:f>IFERROR(VLOOKUP(D382,'Assumptions'!$A$19:$C$23,3,FALSE),0)</x:f>
        <x:v>0</x:v>
      </x:c>
      <x:c r="F382" s="94"/>
      <x:c r="G382" s="93" t="n">
        <x:f>IF(D382="",0,E382+F382)</x:f>
        <x:v>0</x:v>
      </x:c>
      <x:c r="H382" s="98" t="n">
        <x:f>IFERROR(VLOOKUP(D382,'Assumptions'!$A$19:$C$23,2,FALSE),0)</x:f>
        <x:v>0</x:v>
      </x:c>
      <x:c r="I382" s="93" t="n">
        <x:f>IF(D382="",0,H382*'Assumptions'!$B$10)</x:f>
        <x:v>0</x:v>
      </x:c>
      <x:c r="J382" s="337" t="n">
        <x:f>IF(D382="",0,G382-I382)</x:f>
        <x:v>0</x:v>
      </x:c>
      <x:c r="K382" s="331" t="n">
        <x:f>IF(G382=0,0,J382/G382)</x:f>
        <x:v>0</x:v>
      </x:c>
      <x:c r="L382" s="343" t="n">
        <x:f>IF(D382="",0,J382-I382*'Assumptions'!$B$11)</x:f>
        <x:v>0</x:v>
      </x:c>
      <x:c r="M382" s="80"/>
      <x:c r="N382" s="81"/>
    </x:row>
    <x:row r="383">
      <x:c r="A383" s="325"/>
      <x:c r="B383" s="328"/>
      <x:c r="C383" s="75"/>
      <x:c r="D383" s="81"/>
      <x:c r="E383" s="93" t="n">
        <x:f>IFERROR(VLOOKUP(D383,'Assumptions'!$A$19:$C$23,3,FALSE),0)</x:f>
        <x:v>0</x:v>
      </x:c>
      <x:c r="F383" s="94"/>
      <x:c r="G383" s="93" t="n">
        <x:f>IF(D383="",0,E383+F383)</x:f>
        <x:v>0</x:v>
      </x:c>
      <x:c r="H383" s="98" t="n">
        <x:f>IFERROR(VLOOKUP(D383,'Assumptions'!$A$19:$C$23,2,FALSE),0)</x:f>
        <x:v>0</x:v>
      </x:c>
      <x:c r="I383" s="93" t="n">
        <x:f>IF(D383="",0,H383*'Assumptions'!$B$10)</x:f>
        <x:v>0</x:v>
      </x:c>
      <x:c r="J383" s="337" t="n">
        <x:f>IF(D383="",0,G383-I383)</x:f>
        <x:v>0</x:v>
      </x:c>
      <x:c r="K383" s="331" t="n">
        <x:f>IF(G383=0,0,J383/G383)</x:f>
        <x:v>0</x:v>
      </x:c>
      <x:c r="L383" s="343" t="n">
        <x:f>IF(D383="",0,J383-I383*'Assumptions'!$B$11)</x:f>
        <x:v>0</x:v>
      </x:c>
      <x:c r="M383" s="80"/>
      <x:c r="N383" s="81"/>
    </x:row>
    <x:row r="384">
      <x:c r="A384" s="325"/>
      <x:c r="B384" s="328"/>
      <x:c r="C384" s="75"/>
      <x:c r="D384" s="81"/>
      <x:c r="E384" s="93" t="n">
        <x:f>IFERROR(VLOOKUP(D384,'Assumptions'!$A$19:$C$23,3,FALSE),0)</x:f>
        <x:v>0</x:v>
      </x:c>
      <x:c r="F384" s="94"/>
      <x:c r="G384" s="93" t="n">
        <x:f>IF(D384="",0,E384+F384)</x:f>
        <x:v>0</x:v>
      </x:c>
      <x:c r="H384" s="98" t="n">
        <x:f>IFERROR(VLOOKUP(D384,'Assumptions'!$A$19:$C$23,2,FALSE),0)</x:f>
        <x:v>0</x:v>
      </x:c>
      <x:c r="I384" s="93" t="n">
        <x:f>IF(D384="",0,H384*'Assumptions'!$B$10)</x:f>
        <x:v>0</x:v>
      </x:c>
      <x:c r="J384" s="337" t="n">
        <x:f>IF(D384="",0,G384-I384)</x:f>
        <x:v>0</x:v>
      </x:c>
      <x:c r="K384" s="331" t="n">
        <x:f>IF(G384=0,0,J384/G384)</x:f>
        <x:v>0</x:v>
      </x:c>
      <x:c r="L384" s="343" t="n">
        <x:f>IF(D384="",0,J384-I384*'Assumptions'!$B$11)</x:f>
        <x:v>0</x:v>
      </x:c>
      <x:c r="M384" s="80"/>
      <x:c r="N384" s="81"/>
    </x:row>
    <x:row r="385">
      <x:c r="A385" s="325"/>
      <x:c r="B385" s="328"/>
      <x:c r="C385" s="75"/>
      <x:c r="D385" s="81"/>
      <x:c r="E385" s="93" t="n">
        <x:f>IFERROR(VLOOKUP(D385,'Assumptions'!$A$19:$C$23,3,FALSE),0)</x:f>
        <x:v>0</x:v>
      </x:c>
      <x:c r="F385" s="94"/>
      <x:c r="G385" s="93" t="n">
        <x:f>IF(D385="",0,E385+F385)</x:f>
        <x:v>0</x:v>
      </x:c>
      <x:c r="H385" s="98" t="n">
        <x:f>IFERROR(VLOOKUP(D385,'Assumptions'!$A$19:$C$23,2,FALSE),0)</x:f>
        <x:v>0</x:v>
      </x:c>
      <x:c r="I385" s="93" t="n">
        <x:f>IF(D385="",0,H385*'Assumptions'!$B$10)</x:f>
        <x:v>0</x:v>
      </x:c>
      <x:c r="J385" s="337" t="n">
        <x:f>IF(D385="",0,G385-I385)</x:f>
        <x:v>0</x:v>
      </x:c>
      <x:c r="K385" s="331" t="n">
        <x:f>IF(G385=0,0,J385/G385)</x:f>
        <x:v>0</x:v>
      </x:c>
      <x:c r="L385" s="343" t="n">
        <x:f>IF(D385="",0,J385-I385*'Assumptions'!$B$11)</x:f>
        <x:v>0</x:v>
      </x:c>
      <x:c r="M385" s="80"/>
      <x:c r="N385" s="81"/>
    </x:row>
    <x:row r="386">
      <x:c r="A386" s="325"/>
      <x:c r="B386" s="328"/>
      <x:c r="C386" s="75"/>
      <x:c r="D386" s="81"/>
      <x:c r="E386" s="93" t="n">
        <x:f>IFERROR(VLOOKUP(D386,'Assumptions'!$A$19:$C$23,3,FALSE),0)</x:f>
        <x:v>0</x:v>
      </x:c>
      <x:c r="F386" s="94"/>
      <x:c r="G386" s="93" t="n">
        <x:f>IF(D386="",0,E386+F386)</x:f>
        <x:v>0</x:v>
      </x:c>
      <x:c r="H386" s="98" t="n">
        <x:f>IFERROR(VLOOKUP(D386,'Assumptions'!$A$19:$C$23,2,FALSE),0)</x:f>
        <x:v>0</x:v>
      </x:c>
      <x:c r="I386" s="93" t="n">
        <x:f>IF(D386="",0,H386*'Assumptions'!$B$10)</x:f>
        <x:v>0</x:v>
      </x:c>
      <x:c r="J386" s="337" t="n">
        <x:f>IF(D386="",0,G386-I386)</x:f>
        <x:v>0</x:v>
      </x:c>
      <x:c r="K386" s="331" t="n">
        <x:f>IF(G386=0,0,J386/G386)</x:f>
        <x:v>0</x:v>
      </x:c>
      <x:c r="L386" s="343" t="n">
        <x:f>IF(D386="",0,J386-I386*'Assumptions'!$B$11)</x:f>
        <x:v>0</x:v>
      </x:c>
      <x:c r="M386" s="80"/>
      <x:c r="N386" s="81"/>
    </x:row>
    <x:row r="387">
      <x:c r="A387" s="325"/>
      <x:c r="B387" s="328"/>
      <x:c r="C387" s="75"/>
      <x:c r="D387" s="81"/>
      <x:c r="E387" s="93" t="n">
        <x:f>IFERROR(VLOOKUP(D387,'Assumptions'!$A$19:$C$23,3,FALSE),0)</x:f>
        <x:v>0</x:v>
      </x:c>
      <x:c r="F387" s="94"/>
      <x:c r="G387" s="93" t="n">
        <x:f>IF(D387="",0,E387+F387)</x:f>
        <x:v>0</x:v>
      </x:c>
      <x:c r="H387" s="98" t="n">
        <x:f>IFERROR(VLOOKUP(D387,'Assumptions'!$A$19:$C$23,2,FALSE),0)</x:f>
        <x:v>0</x:v>
      </x:c>
      <x:c r="I387" s="93" t="n">
        <x:f>IF(D387="",0,H387*'Assumptions'!$B$10)</x:f>
        <x:v>0</x:v>
      </x:c>
      <x:c r="J387" s="337" t="n">
        <x:f>IF(D387="",0,G387-I387)</x:f>
        <x:v>0</x:v>
      </x:c>
      <x:c r="K387" s="331" t="n">
        <x:f>IF(G387=0,0,J387/G387)</x:f>
        <x:v>0</x:v>
      </x:c>
      <x:c r="L387" s="343" t="n">
        <x:f>IF(D387="",0,J387-I387*'Assumptions'!$B$11)</x:f>
        <x:v>0</x:v>
      </x:c>
      <x:c r="M387" s="80"/>
      <x:c r="N387" s="81"/>
    </x:row>
    <x:row r="388">
      <x:c r="A388" s="325"/>
      <x:c r="B388" s="328"/>
      <x:c r="C388" s="75"/>
      <x:c r="D388" s="81"/>
      <x:c r="E388" s="93" t="n">
        <x:f>IFERROR(VLOOKUP(D388,'Assumptions'!$A$19:$C$23,3,FALSE),0)</x:f>
        <x:v>0</x:v>
      </x:c>
      <x:c r="F388" s="94"/>
      <x:c r="G388" s="93" t="n">
        <x:f>IF(D388="",0,E388+F388)</x:f>
        <x:v>0</x:v>
      </x:c>
      <x:c r="H388" s="98" t="n">
        <x:f>IFERROR(VLOOKUP(D388,'Assumptions'!$A$19:$C$23,2,FALSE),0)</x:f>
        <x:v>0</x:v>
      </x:c>
      <x:c r="I388" s="93" t="n">
        <x:f>IF(D388="",0,H388*'Assumptions'!$B$10)</x:f>
        <x:v>0</x:v>
      </x:c>
      <x:c r="J388" s="337" t="n">
        <x:f>IF(D388="",0,G388-I388)</x:f>
        <x:v>0</x:v>
      </x:c>
      <x:c r="K388" s="331" t="n">
        <x:f>IF(G388=0,0,J388/G388)</x:f>
        <x:v>0</x:v>
      </x:c>
      <x:c r="L388" s="343" t="n">
        <x:f>IF(D388="",0,J388-I388*'Assumptions'!$B$11)</x:f>
        <x:v>0</x:v>
      </x:c>
      <x:c r="M388" s="80"/>
      <x:c r="N388" s="81"/>
    </x:row>
    <x:row r="389">
      <x:c r="A389" s="325"/>
      <x:c r="B389" s="328"/>
      <x:c r="C389" s="75"/>
      <x:c r="D389" s="81"/>
      <x:c r="E389" s="93" t="n">
        <x:f>IFERROR(VLOOKUP(D389,'Assumptions'!$A$19:$C$23,3,FALSE),0)</x:f>
        <x:v>0</x:v>
      </x:c>
      <x:c r="F389" s="94"/>
      <x:c r="G389" s="93" t="n">
        <x:f>IF(D389="",0,E389+F389)</x:f>
        <x:v>0</x:v>
      </x:c>
      <x:c r="H389" s="98" t="n">
        <x:f>IFERROR(VLOOKUP(D389,'Assumptions'!$A$19:$C$23,2,FALSE),0)</x:f>
        <x:v>0</x:v>
      </x:c>
      <x:c r="I389" s="93" t="n">
        <x:f>IF(D389="",0,H389*'Assumptions'!$B$10)</x:f>
        <x:v>0</x:v>
      </x:c>
      <x:c r="J389" s="337" t="n">
        <x:f>IF(D389="",0,G389-I389)</x:f>
        <x:v>0</x:v>
      </x:c>
      <x:c r="K389" s="331" t="n">
        <x:f>IF(G389=0,0,J389/G389)</x:f>
        <x:v>0</x:v>
      </x:c>
      <x:c r="L389" s="343" t="n">
        <x:f>IF(D389="",0,J389-I389*'Assumptions'!$B$11)</x:f>
        <x:v>0</x:v>
      </x:c>
      <x:c r="M389" s="80"/>
      <x:c r="N389" s="81"/>
    </x:row>
    <x:row r="390">
      <x:c r="A390" s="325"/>
      <x:c r="B390" s="328"/>
      <x:c r="C390" s="75"/>
      <x:c r="D390" s="81"/>
      <x:c r="E390" s="93" t="n">
        <x:f>IFERROR(VLOOKUP(D390,'Assumptions'!$A$19:$C$23,3,FALSE),0)</x:f>
        <x:v>0</x:v>
      </x:c>
      <x:c r="F390" s="94"/>
      <x:c r="G390" s="93" t="n">
        <x:f>IF(D390="",0,E390+F390)</x:f>
        <x:v>0</x:v>
      </x:c>
      <x:c r="H390" s="98" t="n">
        <x:f>IFERROR(VLOOKUP(D390,'Assumptions'!$A$19:$C$23,2,FALSE),0)</x:f>
        <x:v>0</x:v>
      </x:c>
      <x:c r="I390" s="93" t="n">
        <x:f>IF(D390="",0,H390*'Assumptions'!$B$10)</x:f>
        <x:v>0</x:v>
      </x:c>
      <x:c r="J390" s="337" t="n">
        <x:f>IF(D390="",0,G390-I390)</x:f>
        <x:v>0</x:v>
      </x:c>
      <x:c r="K390" s="331" t="n">
        <x:f>IF(G390=0,0,J390/G390)</x:f>
        <x:v>0</x:v>
      </x:c>
      <x:c r="L390" s="343" t="n">
        <x:f>IF(D390="",0,J390-I390*'Assumptions'!$B$11)</x:f>
        <x:v>0</x:v>
      </x:c>
      <x:c r="M390" s="80"/>
      <x:c r="N390" s="81"/>
    </x:row>
    <x:row r="391">
      <x:c r="A391" s="325"/>
      <x:c r="B391" s="328"/>
      <x:c r="C391" s="75"/>
      <x:c r="D391" s="81"/>
      <x:c r="E391" s="93" t="n">
        <x:f>IFERROR(VLOOKUP(D391,'Assumptions'!$A$19:$C$23,3,FALSE),0)</x:f>
        <x:v>0</x:v>
      </x:c>
      <x:c r="F391" s="94"/>
      <x:c r="G391" s="93" t="n">
        <x:f>IF(D391="",0,E391+F391)</x:f>
        <x:v>0</x:v>
      </x:c>
      <x:c r="H391" s="98" t="n">
        <x:f>IFERROR(VLOOKUP(D391,'Assumptions'!$A$19:$C$23,2,FALSE),0)</x:f>
        <x:v>0</x:v>
      </x:c>
      <x:c r="I391" s="93" t="n">
        <x:f>IF(D391="",0,H391*'Assumptions'!$B$10)</x:f>
        <x:v>0</x:v>
      </x:c>
      <x:c r="J391" s="337" t="n">
        <x:f>IF(D391="",0,G391-I391)</x:f>
        <x:v>0</x:v>
      </x:c>
      <x:c r="K391" s="331" t="n">
        <x:f>IF(G391=0,0,J391/G391)</x:f>
        <x:v>0</x:v>
      </x:c>
      <x:c r="L391" s="343" t="n">
        <x:f>IF(D391="",0,J391-I391*'Assumptions'!$B$11)</x:f>
        <x:v>0</x:v>
      </x:c>
      <x:c r="M391" s="80"/>
      <x:c r="N391" s="81"/>
    </x:row>
    <x:row r="392">
      <x:c r="A392" s="325"/>
      <x:c r="B392" s="328"/>
      <x:c r="C392" s="75"/>
      <x:c r="D392" s="81"/>
      <x:c r="E392" s="93" t="n">
        <x:f>IFERROR(VLOOKUP(D392,'Assumptions'!$A$19:$C$23,3,FALSE),0)</x:f>
        <x:v>0</x:v>
      </x:c>
      <x:c r="F392" s="94"/>
      <x:c r="G392" s="93" t="n">
        <x:f>IF(D392="",0,E392+F392)</x:f>
        <x:v>0</x:v>
      </x:c>
      <x:c r="H392" s="98" t="n">
        <x:f>IFERROR(VLOOKUP(D392,'Assumptions'!$A$19:$C$23,2,FALSE),0)</x:f>
        <x:v>0</x:v>
      </x:c>
      <x:c r="I392" s="93" t="n">
        <x:f>IF(D392="",0,H392*'Assumptions'!$B$10)</x:f>
        <x:v>0</x:v>
      </x:c>
      <x:c r="J392" s="337" t="n">
        <x:f>IF(D392="",0,G392-I392)</x:f>
        <x:v>0</x:v>
      </x:c>
      <x:c r="K392" s="331" t="n">
        <x:f>IF(G392=0,0,J392/G392)</x:f>
        <x:v>0</x:v>
      </x:c>
      <x:c r="L392" s="343" t="n">
        <x:f>IF(D392="",0,J392-I392*'Assumptions'!$B$11)</x:f>
        <x:v>0</x:v>
      </x:c>
      <x:c r="M392" s="80"/>
      <x:c r="N392" s="81"/>
    </x:row>
    <x:row r="393">
      <x:c r="A393" s="325"/>
      <x:c r="B393" s="328"/>
      <x:c r="C393" s="75"/>
      <x:c r="D393" s="81"/>
      <x:c r="E393" s="93" t="n">
        <x:f>IFERROR(VLOOKUP(D393,'Assumptions'!$A$19:$C$23,3,FALSE),0)</x:f>
        <x:v>0</x:v>
      </x:c>
      <x:c r="F393" s="94"/>
      <x:c r="G393" s="93" t="n">
        <x:f>IF(D393="",0,E393+F393)</x:f>
        <x:v>0</x:v>
      </x:c>
      <x:c r="H393" s="98" t="n">
        <x:f>IFERROR(VLOOKUP(D393,'Assumptions'!$A$19:$C$23,2,FALSE),0)</x:f>
        <x:v>0</x:v>
      </x:c>
      <x:c r="I393" s="93" t="n">
        <x:f>IF(D393="",0,H393*'Assumptions'!$B$10)</x:f>
        <x:v>0</x:v>
      </x:c>
      <x:c r="J393" s="337" t="n">
        <x:f>IF(D393="",0,G393-I393)</x:f>
        <x:v>0</x:v>
      </x:c>
      <x:c r="K393" s="331" t="n">
        <x:f>IF(G393=0,0,J393/G393)</x:f>
        <x:v>0</x:v>
      </x:c>
      <x:c r="L393" s="343" t="n">
        <x:f>IF(D393="",0,J393-I393*'Assumptions'!$B$11)</x:f>
        <x:v>0</x:v>
      </x:c>
      <x:c r="M393" s="80"/>
      <x:c r="N393" s="81"/>
    </x:row>
    <x:row r="394">
      <x:c r="A394" s="325"/>
      <x:c r="B394" s="328"/>
      <x:c r="C394" s="75"/>
      <x:c r="D394" s="81"/>
      <x:c r="E394" s="93" t="n">
        <x:f>IFERROR(VLOOKUP(D394,'Assumptions'!$A$19:$C$23,3,FALSE),0)</x:f>
        <x:v>0</x:v>
      </x:c>
      <x:c r="F394" s="94"/>
      <x:c r="G394" s="93" t="n">
        <x:f>IF(D394="",0,E394+F394)</x:f>
        <x:v>0</x:v>
      </x:c>
      <x:c r="H394" s="98" t="n">
        <x:f>IFERROR(VLOOKUP(D394,'Assumptions'!$A$19:$C$23,2,FALSE),0)</x:f>
        <x:v>0</x:v>
      </x:c>
      <x:c r="I394" s="93" t="n">
        <x:f>IF(D394="",0,H394*'Assumptions'!$B$10)</x:f>
        <x:v>0</x:v>
      </x:c>
      <x:c r="J394" s="337" t="n">
        <x:f>IF(D394="",0,G394-I394)</x:f>
        <x:v>0</x:v>
      </x:c>
      <x:c r="K394" s="331" t="n">
        <x:f>IF(G394=0,0,J394/G394)</x:f>
        <x:v>0</x:v>
      </x:c>
      <x:c r="L394" s="343" t="n">
        <x:f>IF(D394="",0,J394-I394*'Assumptions'!$B$11)</x:f>
        <x:v>0</x:v>
      </x:c>
      <x:c r="M394" s="80"/>
      <x:c r="N394" s="81"/>
    </x:row>
    <x:row r="395">
      <x:c r="A395" s="325"/>
      <x:c r="B395" s="328"/>
      <x:c r="C395" s="75"/>
      <x:c r="D395" s="81"/>
      <x:c r="E395" s="93" t="n">
        <x:f>IFERROR(VLOOKUP(D395,'Assumptions'!$A$19:$C$23,3,FALSE),0)</x:f>
        <x:v>0</x:v>
      </x:c>
      <x:c r="F395" s="94"/>
      <x:c r="G395" s="93" t="n">
        <x:f>IF(D395="",0,E395+F395)</x:f>
        <x:v>0</x:v>
      </x:c>
      <x:c r="H395" s="98" t="n">
        <x:f>IFERROR(VLOOKUP(D395,'Assumptions'!$A$19:$C$23,2,FALSE),0)</x:f>
        <x:v>0</x:v>
      </x:c>
      <x:c r="I395" s="93" t="n">
        <x:f>IF(D395="",0,H395*'Assumptions'!$B$10)</x:f>
        <x:v>0</x:v>
      </x:c>
      <x:c r="J395" s="337" t="n">
        <x:f>IF(D395="",0,G395-I395)</x:f>
        <x:v>0</x:v>
      </x:c>
      <x:c r="K395" s="331" t="n">
        <x:f>IF(G395=0,0,J395/G395)</x:f>
        <x:v>0</x:v>
      </x:c>
      <x:c r="L395" s="343" t="n">
        <x:f>IF(D395="",0,J395-I395*'Assumptions'!$B$11)</x:f>
        <x:v>0</x:v>
      </x:c>
      <x:c r="M395" s="80"/>
      <x:c r="N395" s="81"/>
    </x:row>
    <x:row r="396">
      <x:c r="A396" s="325"/>
      <x:c r="B396" s="328"/>
      <x:c r="C396" s="75"/>
      <x:c r="D396" s="81"/>
      <x:c r="E396" s="93" t="n">
        <x:f>IFERROR(VLOOKUP(D396,'Assumptions'!$A$19:$C$23,3,FALSE),0)</x:f>
        <x:v>0</x:v>
      </x:c>
      <x:c r="F396" s="94"/>
      <x:c r="G396" s="93" t="n">
        <x:f>IF(D396="",0,E396+F396)</x:f>
        <x:v>0</x:v>
      </x:c>
      <x:c r="H396" s="98" t="n">
        <x:f>IFERROR(VLOOKUP(D396,'Assumptions'!$A$19:$C$23,2,FALSE),0)</x:f>
        <x:v>0</x:v>
      </x:c>
      <x:c r="I396" s="93" t="n">
        <x:f>IF(D396="",0,H396*'Assumptions'!$B$10)</x:f>
        <x:v>0</x:v>
      </x:c>
      <x:c r="J396" s="337" t="n">
        <x:f>IF(D396="",0,G396-I396)</x:f>
        <x:v>0</x:v>
      </x:c>
      <x:c r="K396" s="331" t="n">
        <x:f>IF(G396=0,0,J396/G396)</x:f>
        <x:v>0</x:v>
      </x:c>
      <x:c r="L396" s="343" t="n">
        <x:f>IF(D396="",0,J396-I396*'Assumptions'!$B$11)</x:f>
        <x:v>0</x:v>
      </x:c>
      <x:c r="M396" s="80"/>
      <x:c r="N396" s="81"/>
    </x:row>
    <x:row r="397">
      <x:c r="A397" s="325"/>
      <x:c r="B397" s="328"/>
      <x:c r="C397" s="75"/>
      <x:c r="D397" s="81"/>
      <x:c r="E397" s="93" t="n">
        <x:f>IFERROR(VLOOKUP(D397,'Assumptions'!$A$19:$C$23,3,FALSE),0)</x:f>
        <x:v>0</x:v>
      </x:c>
      <x:c r="F397" s="94"/>
      <x:c r="G397" s="93" t="n">
        <x:f>IF(D397="",0,E397+F397)</x:f>
        <x:v>0</x:v>
      </x:c>
      <x:c r="H397" s="98" t="n">
        <x:f>IFERROR(VLOOKUP(D397,'Assumptions'!$A$19:$C$23,2,FALSE),0)</x:f>
        <x:v>0</x:v>
      </x:c>
      <x:c r="I397" s="93" t="n">
        <x:f>IF(D397="",0,H397*'Assumptions'!$B$10)</x:f>
        <x:v>0</x:v>
      </x:c>
      <x:c r="J397" s="337" t="n">
        <x:f>IF(D397="",0,G397-I397)</x:f>
        <x:v>0</x:v>
      </x:c>
      <x:c r="K397" s="331" t="n">
        <x:f>IF(G397=0,0,J397/G397)</x:f>
        <x:v>0</x:v>
      </x:c>
      <x:c r="L397" s="343" t="n">
        <x:f>IF(D397="",0,J397-I397*'Assumptions'!$B$11)</x:f>
        <x:v>0</x:v>
      </x:c>
      <x:c r="M397" s="80"/>
      <x:c r="N397" s="81"/>
    </x:row>
    <x:row r="398">
      <x:c r="A398" s="325"/>
      <x:c r="B398" s="328"/>
      <x:c r="C398" s="75"/>
      <x:c r="D398" s="81"/>
      <x:c r="E398" s="93" t="n">
        <x:f>IFERROR(VLOOKUP(D398,'Assumptions'!$A$19:$C$23,3,FALSE),0)</x:f>
        <x:v>0</x:v>
      </x:c>
      <x:c r="F398" s="94"/>
      <x:c r="G398" s="93" t="n">
        <x:f>IF(D398="",0,E398+F398)</x:f>
        <x:v>0</x:v>
      </x:c>
      <x:c r="H398" s="98" t="n">
        <x:f>IFERROR(VLOOKUP(D398,'Assumptions'!$A$19:$C$23,2,FALSE),0)</x:f>
        <x:v>0</x:v>
      </x:c>
      <x:c r="I398" s="93" t="n">
        <x:f>IF(D398="",0,H398*'Assumptions'!$B$10)</x:f>
        <x:v>0</x:v>
      </x:c>
      <x:c r="J398" s="337" t="n">
        <x:f>IF(D398="",0,G398-I398)</x:f>
        <x:v>0</x:v>
      </x:c>
      <x:c r="K398" s="331" t="n">
        <x:f>IF(G398=0,0,J398/G398)</x:f>
        <x:v>0</x:v>
      </x:c>
      <x:c r="L398" s="343" t="n">
        <x:f>IF(D398="",0,J398-I398*'Assumptions'!$B$11)</x:f>
        <x:v>0</x:v>
      </x:c>
      <x:c r="M398" s="80"/>
      <x:c r="N398" s="81"/>
    </x:row>
    <x:row r="399">
      <x:c r="A399" s="325"/>
      <x:c r="B399" s="328"/>
      <x:c r="C399" s="75"/>
      <x:c r="D399" s="81"/>
      <x:c r="E399" s="93" t="n">
        <x:f>IFERROR(VLOOKUP(D399,'Assumptions'!$A$19:$C$23,3,FALSE),0)</x:f>
        <x:v>0</x:v>
      </x:c>
      <x:c r="F399" s="94"/>
      <x:c r="G399" s="93" t="n">
        <x:f>IF(D399="",0,E399+F399)</x:f>
        <x:v>0</x:v>
      </x:c>
      <x:c r="H399" s="98" t="n">
        <x:f>IFERROR(VLOOKUP(D399,'Assumptions'!$A$19:$C$23,2,FALSE),0)</x:f>
        <x:v>0</x:v>
      </x:c>
      <x:c r="I399" s="93" t="n">
        <x:f>IF(D399="",0,H399*'Assumptions'!$B$10)</x:f>
        <x:v>0</x:v>
      </x:c>
      <x:c r="J399" s="337" t="n">
        <x:f>IF(D399="",0,G399-I399)</x:f>
        <x:v>0</x:v>
      </x:c>
      <x:c r="K399" s="331" t="n">
        <x:f>IF(G399=0,0,J399/G399)</x:f>
        <x:v>0</x:v>
      </x:c>
      <x:c r="L399" s="343" t="n">
        <x:f>IF(D399="",0,J399-I399*'Assumptions'!$B$11)</x:f>
        <x:v>0</x:v>
      </x:c>
      <x:c r="M399" s="80"/>
      <x:c r="N399" s="81"/>
    </x:row>
    <x:row r="400">
      <x:c r="A400" s="325"/>
      <x:c r="B400" s="328"/>
      <x:c r="C400" s="75"/>
      <x:c r="D400" s="81"/>
      <x:c r="E400" s="93" t="n">
        <x:f>IFERROR(VLOOKUP(D400,'Assumptions'!$A$19:$C$23,3,FALSE),0)</x:f>
        <x:v>0</x:v>
      </x:c>
      <x:c r="F400" s="94"/>
      <x:c r="G400" s="93" t="n">
        <x:f>IF(D400="",0,E400+F400)</x:f>
        <x:v>0</x:v>
      </x:c>
      <x:c r="H400" s="98" t="n">
        <x:f>IFERROR(VLOOKUP(D400,'Assumptions'!$A$19:$C$23,2,FALSE),0)</x:f>
        <x:v>0</x:v>
      </x:c>
      <x:c r="I400" s="93" t="n">
        <x:f>IF(D400="",0,H400*'Assumptions'!$B$10)</x:f>
        <x:v>0</x:v>
      </x:c>
      <x:c r="J400" s="337" t="n">
        <x:f>IF(D400="",0,G400-I400)</x:f>
        <x:v>0</x:v>
      </x:c>
      <x:c r="K400" s="331" t="n">
        <x:f>IF(G400=0,0,J400/G400)</x:f>
        <x:v>0</x:v>
      </x:c>
      <x:c r="L400" s="343" t="n">
        <x:f>IF(D400="",0,J400-I400*'Assumptions'!$B$11)</x:f>
        <x:v>0</x:v>
      </x:c>
      <x:c r="M400" s="80"/>
      <x:c r="N400" s="81"/>
    </x:row>
    <x:row r="401">
      <x:c r="A401" s="325"/>
      <x:c r="B401" s="328"/>
      <x:c r="C401" s="75"/>
      <x:c r="D401" s="81"/>
      <x:c r="E401" s="93" t="n">
        <x:f>IFERROR(VLOOKUP(D401,'Assumptions'!$A$19:$C$23,3,FALSE),0)</x:f>
        <x:v>0</x:v>
      </x:c>
      <x:c r="F401" s="94"/>
      <x:c r="G401" s="93" t="n">
        <x:f>IF(D401="",0,E401+F401)</x:f>
        <x:v>0</x:v>
      </x:c>
      <x:c r="H401" s="98" t="n">
        <x:f>IFERROR(VLOOKUP(D401,'Assumptions'!$A$19:$C$23,2,FALSE),0)</x:f>
        <x:v>0</x:v>
      </x:c>
      <x:c r="I401" s="93" t="n">
        <x:f>IF(D401="",0,H401*'Assumptions'!$B$10)</x:f>
        <x:v>0</x:v>
      </x:c>
      <x:c r="J401" s="337" t="n">
        <x:f>IF(D401="",0,G401-I401)</x:f>
        <x:v>0</x:v>
      </x:c>
      <x:c r="K401" s="331" t="n">
        <x:f>IF(G401=0,0,J401/G401)</x:f>
        <x:v>0</x:v>
      </x:c>
      <x:c r="L401" s="343" t="n">
        <x:f>IF(D401="",0,J401-I401*'Assumptions'!$B$11)</x:f>
        <x:v>0</x:v>
      </x:c>
      <x:c r="M401" s="80"/>
      <x:c r="N401" s="81"/>
    </x:row>
    <x:row r="402">
      <x:c r="A402" s="325"/>
      <x:c r="B402" s="328"/>
      <x:c r="C402" s="75"/>
      <x:c r="D402" s="81"/>
      <x:c r="E402" s="93" t="n">
        <x:f>IFERROR(VLOOKUP(D402,'Assumptions'!$A$19:$C$23,3,FALSE),0)</x:f>
        <x:v>0</x:v>
      </x:c>
      <x:c r="F402" s="94"/>
      <x:c r="G402" s="93" t="n">
        <x:f>IF(D402="",0,E402+F402)</x:f>
        <x:v>0</x:v>
      </x:c>
      <x:c r="H402" s="98" t="n">
        <x:f>IFERROR(VLOOKUP(D402,'Assumptions'!$A$19:$C$23,2,FALSE),0)</x:f>
        <x:v>0</x:v>
      </x:c>
      <x:c r="I402" s="93" t="n">
        <x:f>IF(D402="",0,H402*'Assumptions'!$B$10)</x:f>
        <x:v>0</x:v>
      </x:c>
      <x:c r="J402" s="337" t="n">
        <x:f>IF(D402="",0,G402-I402)</x:f>
        <x:v>0</x:v>
      </x:c>
      <x:c r="K402" s="331" t="n">
        <x:f>IF(G402=0,0,J402/G402)</x:f>
        <x:v>0</x:v>
      </x:c>
      <x:c r="L402" s="343" t="n">
        <x:f>IF(D402="",0,J402-I402*'Assumptions'!$B$11)</x:f>
        <x:v>0</x:v>
      </x:c>
      <x:c r="M402" s="80"/>
      <x:c r="N402" s="81"/>
    </x:row>
    <x:row r="403">
      <x:c r="A403" s="325"/>
      <x:c r="B403" s="328"/>
      <x:c r="C403" s="75"/>
      <x:c r="D403" s="81"/>
      <x:c r="E403" s="93" t="n">
        <x:f>IFERROR(VLOOKUP(D403,'Assumptions'!$A$19:$C$23,3,FALSE),0)</x:f>
        <x:v>0</x:v>
      </x:c>
      <x:c r="F403" s="94"/>
      <x:c r="G403" s="93" t="n">
        <x:f>IF(D403="",0,E403+F403)</x:f>
        <x:v>0</x:v>
      </x:c>
      <x:c r="H403" s="98" t="n">
        <x:f>IFERROR(VLOOKUP(D403,'Assumptions'!$A$19:$C$23,2,FALSE),0)</x:f>
        <x:v>0</x:v>
      </x:c>
      <x:c r="I403" s="93" t="n">
        <x:f>IF(D403="",0,H403*'Assumptions'!$B$10)</x:f>
        <x:v>0</x:v>
      </x:c>
      <x:c r="J403" s="337" t="n">
        <x:f>IF(D403="",0,G403-I403)</x:f>
        <x:v>0</x:v>
      </x:c>
      <x:c r="K403" s="331" t="n">
        <x:f>IF(G403=0,0,J403/G403)</x:f>
        <x:v>0</x:v>
      </x:c>
      <x:c r="L403" s="343" t="n">
        <x:f>IF(D403="",0,J403-I403*'Assumptions'!$B$11)</x:f>
        <x:v>0</x:v>
      </x:c>
      <x:c r="M403" s="80"/>
      <x:c r="N403" s="81"/>
    </x:row>
    <x:row r="404">
      <x:c r="A404" s="325"/>
      <x:c r="B404" s="328"/>
      <x:c r="C404" s="75"/>
      <x:c r="D404" s="81"/>
      <x:c r="E404" s="93" t="n">
        <x:f>IFERROR(VLOOKUP(D404,'Assumptions'!$A$19:$C$23,3,FALSE),0)</x:f>
        <x:v>0</x:v>
      </x:c>
      <x:c r="F404" s="94"/>
      <x:c r="G404" s="93" t="n">
        <x:f>IF(D404="",0,E404+F404)</x:f>
        <x:v>0</x:v>
      </x:c>
      <x:c r="H404" s="98" t="n">
        <x:f>IFERROR(VLOOKUP(D404,'Assumptions'!$A$19:$C$23,2,FALSE),0)</x:f>
        <x:v>0</x:v>
      </x:c>
      <x:c r="I404" s="93" t="n">
        <x:f>IF(D404="",0,H404*'Assumptions'!$B$10)</x:f>
        <x:v>0</x:v>
      </x:c>
      <x:c r="J404" s="337" t="n">
        <x:f>IF(D404="",0,G404-I404)</x:f>
        <x:v>0</x:v>
      </x:c>
      <x:c r="K404" s="331" t="n">
        <x:f>IF(G404=0,0,J404/G404)</x:f>
        <x:v>0</x:v>
      </x:c>
      <x:c r="L404" s="343" t="n">
        <x:f>IF(D404="",0,J404-I404*'Assumptions'!$B$11)</x:f>
        <x:v>0</x:v>
      </x:c>
      <x:c r="M404" s="80"/>
      <x:c r="N404" s="81"/>
    </x:row>
    <x:row r="405">
      <x:c r="A405" s="325"/>
      <x:c r="B405" s="328"/>
      <x:c r="C405" s="75"/>
      <x:c r="D405" s="81"/>
      <x:c r="E405" s="93" t="n">
        <x:f>IFERROR(VLOOKUP(D405,'Assumptions'!$A$19:$C$23,3,FALSE),0)</x:f>
        <x:v>0</x:v>
      </x:c>
      <x:c r="F405" s="94"/>
      <x:c r="G405" s="93" t="n">
        <x:f>IF(D405="",0,E405+F405)</x:f>
        <x:v>0</x:v>
      </x:c>
      <x:c r="H405" s="98" t="n">
        <x:f>IFERROR(VLOOKUP(D405,'Assumptions'!$A$19:$C$23,2,FALSE),0)</x:f>
        <x:v>0</x:v>
      </x:c>
      <x:c r="I405" s="93" t="n">
        <x:f>IF(D405="",0,H405*'Assumptions'!$B$10)</x:f>
        <x:v>0</x:v>
      </x:c>
      <x:c r="J405" s="337" t="n">
        <x:f>IF(D405="",0,G405-I405)</x:f>
        <x:v>0</x:v>
      </x:c>
      <x:c r="K405" s="331" t="n">
        <x:f>IF(G405=0,0,J405/G405)</x:f>
        <x:v>0</x:v>
      </x:c>
      <x:c r="L405" s="343" t="n">
        <x:f>IF(D405="",0,J405-I405*'Assumptions'!$B$11)</x:f>
        <x:v>0</x:v>
      </x:c>
      <x:c r="M405" s="80"/>
      <x:c r="N405" s="81"/>
    </x:row>
    <x:row r="406">
      <x:c r="A406" s="325"/>
      <x:c r="B406" s="328"/>
      <x:c r="C406" s="75"/>
      <x:c r="D406" s="81"/>
      <x:c r="E406" s="93" t="n">
        <x:f>IFERROR(VLOOKUP(D406,'Assumptions'!$A$19:$C$23,3,FALSE),0)</x:f>
        <x:v>0</x:v>
      </x:c>
      <x:c r="F406" s="94"/>
      <x:c r="G406" s="93" t="n">
        <x:f>IF(D406="",0,E406+F406)</x:f>
        <x:v>0</x:v>
      </x:c>
      <x:c r="H406" s="98" t="n">
        <x:f>IFERROR(VLOOKUP(D406,'Assumptions'!$A$19:$C$23,2,FALSE),0)</x:f>
        <x:v>0</x:v>
      </x:c>
      <x:c r="I406" s="93" t="n">
        <x:f>IF(D406="",0,H406*'Assumptions'!$B$10)</x:f>
        <x:v>0</x:v>
      </x:c>
      <x:c r="J406" s="337" t="n">
        <x:f>IF(D406="",0,G406-I406)</x:f>
        <x:v>0</x:v>
      </x:c>
      <x:c r="K406" s="331" t="n">
        <x:f>IF(G406=0,0,J406/G406)</x:f>
        <x:v>0</x:v>
      </x:c>
      <x:c r="L406" s="343" t="n">
        <x:f>IF(D406="",0,J406-I406*'Assumptions'!$B$11)</x:f>
        <x:v>0</x:v>
      </x:c>
      <x:c r="M406" s="80"/>
      <x:c r="N406" s="81"/>
    </x:row>
    <x:row r="407">
      <x:c r="A407" s="325"/>
      <x:c r="B407" s="328"/>
      <x:c r="C407" s="75"/>
      <x:c r="D407" s="81"/>
      <x:c r="E407" s="93" t="n">
        <x:f>IFERROR(VLOOKUP(D407,'Assumptions'!$A$19:$C$23,3,FALSE),0)</x:f>
        <x:v>0</x:v>
      </x:c>
      <x:c r="F407" s="94"/>
      <x:c r="G407" s="93" t="n">
        <x:f>IF(D407="",0,E407+F407)</x:f>
        <x:v>0</x:v>
      </x:c>
      <x:c r="H407" s="98" t="n">
        <x:f>IFERROR(VLOOKUP(D407,'Assumptions'!$A$19:$C$23,2,FALSE),0)</x:f>
        <x:v>0</x:v>
      </x:c>
      <x:c r="I407" s="93" t="n">
        <x:f>IF(D407="",0,H407*'Assumptions'!$B$10)</x:f>
        <x:v>0</x:v>
      </x:c>
      <x:c r="J407" s="337" t="n">
        <x:f>IF(D407="",0,G407-I407)</x:f>
        <x:v>0</x:v>
      </x:c>
      <x:c r="K407" s="331" t="n">
        <x:f>IF(G407=0,0,J407/G407)</x:f>
        <x:v>0</x:v>
      </x:c>
      <x:c r="L407" s="343" t="n">
        <x:f>IF(D407="",0,J407-I407*'Assumptions'!$B$11)</x:f>
        <x:v>0</x:v>
      </x:c>
      <x:c r="M407" s="80"/>
      <x:c r="N407" s="81"/>
    </x:row>
    <x:row r="408">
      <x:c r="A408" s="325"/>
      <x:c r="B408" s="328"/>
      <x:c r="C408" s="75"/>
      <x:c r="D408" s="81"/>
      <x:c r="E408" s="93" t="n">
        <x:f>IFERROR(VLOOKUP(D408,'Assumptions'!$A$19:$C$23,3,FALSE),0)</x:f>
        <x:v>0</x:v>
      </x:c>
      <x:c r="F408" s="94"/>
      <x:c r="G408" s="93" t="n">
        <x:f>IF(D408="",0,E408+F408)</x:f>
        <x:v>0</x:v>
      </x:c>
      <x:c r="H408" s="98" t="n">
        <x:f>IFERROR(VLOOKUP(D408,'Assumptions'!$A$19:$C$23,2,FALSE),0)</x:f>
        <x:v>0</x:v>
      </x:c>
      <x:c r="I408" s="93" t="n">
        <x:f>IF(D408="",0,H408*'Assumptions'!$B$10)</x:f>
        <x:v>0</x:v>
      </x:c>
      <x:c r="J408" s="337" t="n">
        <x:f>IF(D408="",0,G408-I408)</x:f>
        <x:v>0</x:v>
      </x:c>
      <x:c r="K408" s="331" t="n">
        <x:f>IF(G408=0,0,J408/G408)</x:f>
        <x:v>0</x:v>
      </x:c>
      <x:c r="L408" s="343" t="n">
        <x:f>IF(D408="",0,J408-I408*'Assumptions'!$B$11)</x:f>
        <x:v>0</x:v>
      </x:c>
      <x:c r="M408" s="80"/>
      <x:c r="N408" s="81"/>
    </x:row>
    <x:row r="409">
      <x:c r="A409" s="325"/>
      <x:c r="B409" s="328"/>
      <x:c r="C409" s="75"/>
      <x:c r="D409" s="81"/>
      <x:c r="E409" s="93" t="n">
        <x:f>IFERROR(VLOOKUP(D409,'Assumptions'!$A$19:$C$23,3,FALSE),0)</x:f>
        <x:v>0</x:v>
      </x:c>
      <x:c r="F409" s="94"/>
      <x:c r="G409" s="93" t="n">
        <x:f>IF(D409="",0,E409+F409)</x:f>
        <x:v>0</x:v>
      </x:c>
      <x:c r="H409" s="98" t="n">
        <x:f>IFERROR(VLOOKUP(D409,'Assumptions'!$A$19:$C$23,2,FALSE),0)</x:f>
        <x:v>0</x:v>
      </x:c>
      <x:c r="I409" s="93" t="n">
        <x:f>IF(D409="",0,H409*'Assumptions'!$B$10)</x:f>
        <x:v>0</x:v>
      </x:c>
      <x:c r="J409" s="337" t="n">
        <x:f>IF(D409="",0,G409-I409)</x:f>
        <x:v>0</x:v>
      </x:c>
      <x:c r="K409" s="331" t="n">
        <x:f>IF(G409=0,0,J409/G409)</x:f>
        <x:v>0</x:v>
      </x:c>
      <x:c r="L409" s="343" t="n">
        <x:f>IF(D409="",0,J409-I409*'Assumptions'!$B$11)</x:f>
        <x:v>0</x:v>
      </x:c>
      <x:c r="M409" s="80"/>
      <x:c r="N409" s="81"/>
    </x:row>
    <x:row r="410">
      <x:c r="A410" s="325"/>
      <x:c r="B410" s="328"/>
      <x:c r="C410" s="75"/>
      <x:c r="D410" s="81"/>
      <x:c r="E410" s="93" t="n">
        <x:f>IFERROR(VLOOKUP(D410,'Assumptions'!$A$19:$C$23,3,FALSE),0)</x:f>
        <x:v>0</x:v>
      </x:c>
      <x:c r="F410" s="94"/>
      <x:c r="G410" s="93" t="n">
        <x:f>IF(D410="",0,E410+F410)</x:f>
        <x:v>0</x:v>
      </x:c>
      <x:c r="H410" s="98" t="n">
        <x:f>IFERROR(VLOOKUP(D410,'Assumptions'!$A$19:$C$23,2,FALSE),0)</x:f>
        <x:v>0</x:v>
      </x:c>
      <x:c r="I410" s="93" t="n">
        <x:f>IF(D410="",0,H410*'Assumptions'!$B$10)</x:f>
        <x:v>0</x:v>
      </x:c>
      <x:c r="J410" s="337" t="n">
        <x:f>IF(D410="",0,G410-I410)</x:f>
        <x:v>0</x:v>
      </x:c>
      <x:c r="K410" s="331" t="n">
        <x:f>IF(G410=0,0,J410/G410)</x:f>
        <x:v>0</x:v>
      </x:c>
      <x:c r="L410" s="343" t="n">
        <x:f>IF(D410="",0,J410-I410*'Assumptions'!$B$11)</x:f>
        <x:v>0</x:v>
      </x:c>
      <x:c r="M410" s="80"/>
      <x:c r="N410" s="81"/>
    </x:row>
    <x:row r="411">
      <x:c r="A411" s="325"/>
      <x:c r="B411" s="328"/>
      <x:c r="C411" s="75"/>
      <x:c r="D411" s="81"/>
      <x:c r="E411" s="93" t="n">
        <x:f>IFERROR(VLOOKUP(D411,'Assumptions'!$A$19:$C$23,3,FALSE),0)</x:f>
        <x:v>0</x:v>
      </x:c>
      <x:c r="F411" s="94"/>
      <x:c r="G411" s="93" t="n">
        <x:f>IF(D411="",0,E411+F411)</x:f>
        <x:v>0</x:v>
      </x:c>
      <x:c r="H411" s="98" t="n">
        <x:f>IFERROR(VLOOKUP(D411,'Assumptions'!$A$19:$C$23,2,FALSE),0)</x:f>
        <x:v>0</x:v>
      </x:c>
      <x:c r="I411" s="93" t="n">
        <x:f>IF(D411="",0,H411*'Assumptions'!$B$10)</x:f>
        <x:v>0</x:v>
      </x:c>
      <x:c r="J411" s="337" t="n">
        <x:f>IF(D411="",0,G411-I411)</x:f>
        <x:v>0</x:v>
      </x:c>
      <x:c r="K411" s="331" t="n">
        <x:f>IF(G411=0,0,J411/G411)</x:f>
        <x:v>0</x:v>
      </x:c>
      <x:c r="L411" s="343" t="n">
        <x:f>IF(D411="",0,J411-I411*'Assumptions'!$B$11)</x:f>
        <x:v>0</x:v>
      </x:c>
      <x:c r="M411" s="80"/>
      <x:c r="N411" s="81"/>
    </x:row>
    <x:row r="412">
      <x:c r="A412" s="325"/>
      <x:c r="B412" s="328"/>
      <x:c r="C412" s="75"/>
      <x:c r="D412" s="81"/>
      <x:c r="E412" s="93" t="n">
        <x:f>IFERROR(VLOOKUP(D412,'Assumptions'!$A$19:$C$23,3,FALSE),0)</x:f>
        <x:v>0</x:v>
      </x:c>
      <x:c r="F412" s="94"/>
      <x:c r="G412" s="93" t="n">
        <x:f>IF(D412="",0,E412+F412)</x:f>
        <x:v>0</x:v>
      </x:c>
      <x:c r="H412" s="98" t="n">
        <x:f>IFERROR(VLOOKUP(D412,'Assumptions'!$A$19:$C$23,2,FALSE),0)</x:f>
        <x:v>0</x:v>
      </x:c>
      <x:c r="I412" s="93" t="n">
        <x:f>IF(D412="",0,H412*'Assumptions'!$B$10)</x:f>
        <x:v>0</x:v>
      </x:c>
      <x:c r="J412" s="337" t="n">
        <x:f>IF(D412="",0,G412-I412)</x:f>
        <x:v>0</x:v>
      </x:c>
      <x:c r="K412" s="331" t="n">
        <x:f>IF(G412=0,0,J412/G412)</x:f>
        <x:v>0</x:v>
      </x:c>
      <x:c r="L412" s="343" t="n">
        <x:f>IF(D412="",0,J412-I412*'Assumptions'!$B$11)</x:f>
        <x:v>0</x:v>
      </x:c>
      <x:c r="M412" s="80"/>
      <x:c r="N412" s="81"/>
    </x:row>
    <x:row r="413">
      <x:c r="A413" s="325"/>
      <x:c r="B413" s="328"/>
      <x:c r="C413" s="75"/>
      <x:c r="D413" s="81"/>
      <x:c r="E413" s="93" t="n">
        <x:f>IFERROR(VLOOKUP(D413,'Assumptions'!$A$19:$C$23,3,FALSE),0)</x:f>
        <x:v>0</x:v>
      </x:c>
      <x:c r="F413" s="94"/>
      <x:c r="G413" s="93" t="n">
        <x:f>IF(D413="",0,E413+F413)</x:f>
        <x:v>0</x:v>
      </x:c>
      <x:c r="H413" s="98" t="n">
        <x:f>IFERROR(VLOOKUP(D413,'Assumptions'!$A$19:$C$23,2,FALSE),0)</x:f>
        <x:v>0</x:v>
      </x:c>
      <x:c r="I413" s="93" t="n">
        <x:f>IF(D413="",0,H413*'Assumptions'!$B$10)</x:f>
        <x:v>0</x:v>
      </x:c>
      <x:c r="J413" s="337" t="n">
        <x:f>IF(D413="",0,G413-I413)</x:f>
        <x:v>0</x:v>
      </x:c>
      <x:c r="K413" s="331" t="n">
        <x:f>IF(G413=0,0,J413/G413)</x:f>
        <x:v>0</x:v>
      </x:c>
      <x:c r="L413" s="343" t="n">
        <x:f>IF(D413="",0,J413-I413*'Assumptions'!$B$11)</x:f>
        <x:v>0</x:v>
      </x:c>
      <x:c r="M413" s="80"/>
      <x:c r="N413" s="81"/>
    </x:row>
    <x:row r="414">
      <x:c r="A414" s="325"/>
      <x:c r="B414" s="328"/>
      <x:c r="C414" s="75"/>
      <x:c r="D414" s="81"/>
      <x:c r="E414" s="93" t="n">
        <x:f>IFERROR(VLOOKUP(D414,'Assumptions'!$A$19:$C$23,3,FALSE),0)</x:f>
        <x:v>0</x:v>
      </x:c>
      <x:c r="F414" s="94"/>
      <x:c r="G414" s="93" t="n">
        <x:f>IF(D414="",0,E414+F414)</x:f>
        <x:v>0</x:v>
      </x:c>
      <x:c r="H414" s="98" t="n">
        <x:f>IFERROR(VLOOKUP(D414,'Assumptions'!$A$19:$C$23,2,FALSE),0)</x:f>
        <x:v>0</x:v>
      </x:c>
      <x:c r="I414" s="93" t="n">
        <x:f>IF(D414="",0,H414*'Assumptions'!$B$10)</x:f>
        <x:v>0</x:v>
      </x:c>
      <x:c r="J414" s="337" t="n">
        <x:f>IF(D414="",0,G414-I414)</x:f>
        <x:v>0</x:v>
      </x:c>
      <x:c r="K414" s="331" t="n">
        <x:f>IF(G414=0,0,J414/G414)</x:f>
        <x:v>0</x:v>
      </x:c>
      <x:c r="L414" s="343" t="n">
        <x:f>IF(D414="",0,J414-I414*'Assumptions'!$B$11)</x:f>
        <x:v>0</x:v>
      </x:c>
      <x:c r="M414" s="80"/>
      <x:c r="N414" s="81"/>
    </x:row>
    <x:row r="415">
      <x:c r="A415" s="325"/>
      <x:c r="B415" s="328"/>
      <x:c r="C415" s="75"/>
      <x:c r="D415" s="81"/>
      <x:c r="E415" s="93" t="n">
        <x:f>IFERROR(VLOOKUP(D415,'Assumptions'!$A$19:$C$23,3,FALSE),0)</x:f>
        <x:v>0</x:v>
      </x:c>
      <x:c r="F415" s="94"/>
      <x:c r="G415" s="93" t="n">
        <x:f>IF(D415="",0,E415+F415)</x:f>
        <x:v>0</x:v>
      </x:c>
      <x:c r="H415" s="98" t="n">
        <x:f>IFERROR(VLOOKUP(D415,'Assumptions'!$A$19:$C$23,2,FALSE),0)</x:f>
        <x:v>0</x:v>
      </x:c>
      <x:c r="I415" s="93" t="n">
        <x:f>IF(D415="",0,H415*'Assumptions'!$B$10)</x:f>
        <x:v>0</x:v>
      </x:c>
      <x:c r="J415" s="337" t="n">
        <x:f>IF(D415="",0,G415-I415)</x:f>
        <x:v>0</x:v>
      </x:c>
      <x:c r="K415" s="331" t="n">
        <x:f>IF(G415=0,0,J415/G415)</x:f>
        <x:v>0</x:v>
      </x:c>
      <x:c r="L415" s="343" t="n">
        <x:f>IF(D415="",0,J415-I415*'Assumptions'!$B$11)</x:f>
        <x:v>0</x:v>
      </x:c>
      <x:c r="M415" s="80"/>
      <x:c r="N415" s="81"/>
    </x:row>
    <x:row r="416">
      <x:c r="A416" s="325"/>
      <x:c r="B416" s="328"/>
      <x:c r="C416" s="75"/>
      <x:c r="D416" s="81"/>
      <x:c r="E416" s="93" t="n">
        <x:f>IFERROR(VLOOKUP(D416,'Assumptions'!$A$19:$C$23,3,FALSE),0)</x:f>
        <x:v>0</x:v>
      </x:c>
      <x:c r="F416" s="94"/>
      <x:c r="G416" s="93" t="n">
        <x:f>IF(D416="",0,E416+F416)</x:f>
        <x:v>0</x:v>
      </x:c>
      <x:c r="H416" s="98" t="n">
        <x:f>IFERROR(VLOOKUP(D416,'Assumptions'!$A$19:$C$23,2,FALSE),0)</x:f>
        <x:v>0</x:v>
      </x:c>
      <x:c r="I416" s="93" t="n">
        <x:f>IF(D416="",0,H416*'Assumptions'!$B$10)</x:f>
        <x:v>0</x:v>
      </x:c>
      <x:c r="J416" s="337" t="n">
        <x:f>IF(D416="",0,G416-I416)</x:f>
        <x:v>0</x:v>
      </x:c>
      <x:c r="K416" s="331" t="n">
        <x:f>IF(G416=0,0,J416/G416)</x:f>
        <x:v>0</x:v>
      </x:c>
      <x:c r="L416" s="343" t="n">
        <x:f>IF(D416="",0,J416-I416*'Assumptions'!$B$11)</x:f>
        <x:v>0</x:v>
      </x:c>
      <x:c r="M416" s="80"/>
      <x:c r="N416" s="81"/>
    </x:row>
    <x:row r="417">
      <x:c r="A417" s="325"/>
      <x:c r="B417" s="328"/>
      <x:c r="C417" s="75"/>
      <x:c r="D417" s="81"/>
      <x:c r="E417" s="93" t="n">
        <x:f>IFERROR(VLOOKUP(D417,'Assumptions'!$A$19:$C$23,3,FALSE),0)</x:f>
        <x:v>0</x:v>
      </x:c>
      <x:c r="F417" s="94"/>
      <x:c r="G417" s="93" t="n">
        <x:f>IF(D417="",0,E417+F417)</x:f>
        <x:v>0</x:v>
      </x:c>
      <x:c r="H417" s="98" t="n">
        <x:f>IFERROR(VLOOKUP(D417,'Assumptions'!$A$19:$C$23,2,FALSE),0)</x:f>
        <x:v>0</x:v>
      </x:c>
      <x:c r="I417" s="93" t="n">
        <x:f>IF(D417="",0,H417*'Assumptions'!$B$10)</x:f>
        <x:v>0</x:v>
      </x:c>
      <x:c r="J417" s="337" t="n">
        <x:f>IF(D417="",0,G417-I417)</x:f>
        <x:v>0</x:v>
      </x:c>
      <x:c r="K417" s="331" t="n">
        <x:f>IF(G417=0,0,J417/G417)</x:f>
        <x:v>0</x:v>
      </x:c>
      <x:c r="L417" s="343" t="n">
        <x:f>IF(D417="",0,J417-I417*'Assumptions'!$B$11)</x:f>
        <x:v>0</x:v>
      </x:c>
      <x:c r="M417" s="80"/>
      <x:c r="N417" s="81"/>
    </x:row>
    <x:row r="418">
      <x:c r="A418" s="325"/>
      <x:c r="B418" s="328"/>
      <x:c r="C418" s="75"/>
      <x:c r="D418" s="81"/>
      <x:c r="E418" s="93" t="n">
        <x:f>IFERROR(VLOOKUP(D418,'Assumptions'!$A$19:$C$23,3,FALSE),0)</x:f>
        <x:v>0</x:v>
      </x:c>
      <x:c r="F418" s="94"/>
      <x:c r="G418" s="93" t="n">
        <x:f>IF(D418="",0,E418+F418)</x:f>
        <x:v>0</x:v>
      </x:c>
      <x:c r="H418" s="98" t="n">
        <x:f>IFERROR(VLOOKUP(D418,'Assumptions'!$A$19:$C$23,2,FALSE),0)</x:f>
        <x:v>0</x:v>
      </x:c>
      <x:c r="I418" s="93" t="n">
        <x:f>IF(D418="",0,H418*'Assumptions'!$B$10)</x:f>
        <x:v>0</x:v>
      </x:c>
      <x:c r="J418" s="337" t="n">
        <x:f>IF(D418="",0,G418-I418)</x:f>
        <x:v>0</x:v>
      </x:c>
      <x:c r="K418" s="331" t="n">
        <x:f>IF(G418=0,0,J418/G418)</x:f>
        <x:v>0</x:v>
      </x:c>
      <x:c r="L418" s="343" t="n">
        <x:f>IF(D418="",0,J418-I418*'Assumptions'!$B$11)</x:f>
        <x:v>0</x:v>
      </x:c>
      <x:c r="M418" s="80"/>
      <x:c r="N418" s="81"/>
    </x:row>
    <x:row r="419">
      <x:c r="A419" s="325"/>
      <x:c r="B419" s="328"/>
      <x:c r="C419" s="75"/>
      <x:c r="D419" s="81"/>
      <x:c r="E419" s="93" t="n">
        <x:f>IFERROR(VLOOKUP(D419,'Assumptions'!$A$19:$C$23,3,FALSE),0)</x:f>
        <x:v>0</x:v>
      </x:c>
      <x:c r="F419" s="94"/>
      <x:c r="G419" s="93" t="n">
        <x:f>IF(D419="",0,E419+F419)</x:f>
        <x:v>0</x:v>
      </x:c>
      <x:c r="H419" s="98" t="n">
        <x:f>IFERROR(VLOOKUP(D419,'Assumptions'!$A$19:$C$23,2,FALSE),0)</x:f>
        <x:v>0</x:v>
      </x:c>
      <x:c r="I419" s="93" t="n">
        <x:f>IF(D419="",0,H419*'Assumptions'!$B$10)</x:f>
        <x:v>0</x:v>
      </x:c>
      <x:c r="J419" s="337" t="n">
        <x:f>IF(D419="",0,G419-I419)</x:f>
        <x:v>0</x:v>
      </x:c>
      <x:c r="K419" s="331" t="n">
        <x:f>IF(G419=0,0,J419/G419)</x:f>
        <x:v>0</x:v>
      </x:c>
      <x:c r="L419" s="343" t="n">
        <x:f>IF(D419="",0,J419-I419*'Assumptions'!$B$11)</x:f>
        <x:v>0</x:v>
      </x:c>
      <x:c r="M419" s="80"/>
      <x:c r="N419" s="81"/>
    </x:row>
    <x:row r="420">
      <x:c r="A420" s="325"/>
      <x:c r="B420" s="328"/>
      <x:c r="C420" s="75"/>
      <x:c r="D420" s="81"/>
      <x:c r="E420" s="93" t="n">
        <x:f>IFERROR(VLOOKUP(D420,'Assumptions'!$A$19:$C$23,3,FALSE),0)</x:f>
        <x:v>0</x:v>
      </x:c>
      <x:c r="F420" s="94"/>
      <x:c r="G420" s="93" t="n">
        <x:f>IF(D420="",0,E420+F420)</x:f>
        <x:v>0</x:v>
      </x:c>
      <x:c r="H420" s="98" t="n">
        <x:f>IFERROR(VLOOKUP(D420,'Assumptions'!$A$19:$C$23,2,FALSE),0)</x:f>
        <x:v>0</x:v>
      </x:c>
      <x:c r="I420" s="93" t="n">
        <x:f>IF(D420="",0,H420*'Assumptions'!$B$10)</x:f>
        <x:v>0</x:v>
      </x:c>
      <x:c r="J420" s="337" t="n">
        <x:f>IF(D420="",0,G420-I420)</x:f>
        <x:v>0</x:v>
      </x:c>
      <x:c r="K420" s="331" t="n">
        <x:f>IF(G420=0,0,J420/G420)</x:f>
        <x:v>0</x:v>
      </x:c>
      <x:c r="L420" s="343" t="n">
        <x:f>IF(D420="",0,J420-I420*'Assumptions'!$B$11)</x:f>
        <x:v>0</x:v>
      </x:c>
      <x:c r="M420" s="80"/>
      <x:c r="N420" s="81"/>
    </x:row>
    <x:row r="421">
      <x:c r="A421" s="325"/>
      <x:c r="B421" s="328"/>
      <x:c r="C421" s="75"/>
      <x:c r="D421" s="81"/>
      <x:c r="E421" s="93" t="n">
        <x:f>IFERROR(VLOOKUP(D421,'Assumptions'!$A$19:$C$23,3,FALSE),0)</x:f>
        <x:v>0</x:v>
      </x:c>
      <x:c r="F421" s="94"/>
      <x:c r="G421" s="93" t="n">
        <x:f>IF(D421="",0,E421+F421)</x:f>
        <x:v>0</x:v>
      </x:c>
      <x:c r="H421" s="98" t="n">
        <x:f>IFERROR(VLOOKUP(D421,'Assumptions'!$A$19:$C$23,2,FALSE),0)</x:f>
        <x:v>0</x:v>
      </x:c>
      <x:c r="I421" s="93" t="n">
        <x:f>IF(D421="",0,H421*'Assumptions'!$B$10)</x:f>
        <x:v>0</x:v>
      </x:c>
      <x:c r="J421" s="337" t="n">
        <x:f>IF(D421="",0,G421-I421)</x:f>
        <x:v>0</x:v>
      </x:c>
      <x:c r="K421" s="331" t="n">
        <x:f>IF(G421=0,0,J421/G421)</x:f>
        <x:v>0</x:v>
      </x:c>
      <x:c r="L421" s="343" t="n">
        <x:f>IF(D421="",0,J421-I421*'Assumptions'!$B$11)</x:f>
        <x:v>0</x:v>
      </x:c>
      <x:c r="M421" s="80"/>
      <x:c r="N421" s="81"/>
    </x:row>
    <x:row r="422">
      <x:c r="A422" s="325"/>
      <x:c r="B422" s="328"/>
      <x:c r="C422" s="75"/>
      <x:c r="D422" s="81"/>
      <x:c r="E422" s="93" t="n">
        <x:f>IFERROR(VLOOKUP(D422,'Assumptions'!$A$19:$C$23,3,FALSE),0)</x:f>
        <x:v>0</x:v>
      </x:c>
      <x:c r="F422" s="94"/>
      <x:c r="G422" s="93" t="n">
        <x:f>IF(D422="",0,E422+F422)</x:f>
        <x:v>0</x:v>
      </x:c>
      <x:c r="H422" s="98" t="n">
        <x:f>IFERROR(VLOOKUP(D422,'Assumptions'!$A$19:$C$23,2,FALSE),0)</x:f>
        <x:v>0</x:v>
      </x:c>
      <x:c r="I422" s="93" t="n">
        <x:f>IF(D422="",0,H422*'Assumptions'!$B$10)</x:f>
        <x:v>0</x:v>
      </x:c>
      <x:c r="J422" s="337" t="n">
        <x:f>IF(D422="",0,G422-I422)</x:f>
        <x:v>0</x:v>
      </x:c>
      <x:c r="K422" s="331" t="n">
        <x:f>IF(G422=0,0,J422/G422)</x:f>
        <x:v>0</x:v>
      </x:c>
      <x:c r="L422" s="343" t="n">
        <x:f>IF(D422="",0,J422-I422*'Assumptions'!$B$11)</x:f>
        <x:v>0</x:v>
      </x:c>
      <x:c r="M422" s="80"/>
      <x:c r="N422" s="81"/>
    </x:row>
    <x:row r="423">
      <x:c r="A423" s="325"/>
      <x:c r="B423" s="328"/>
      <x:c r="C423" s="75"/>
      <x:c r="D423" s="81"/>
      <x:c r="E423" s="93" t="n">
        <x:f>IFERROR(VLOOKUP(D423,'Assumptions'!$A$19:$C$23,3,FALSE),0)</x:f>
        <x:v>0</x:v>
      </x:c>
      <x:c r="F423" s="94"/>
      <x:c r="G423" s="93" t="n">
        <x:f>IF(D423="",0,E423+F423)</x:f>
        <x:v>0</x:v>
      </x:c>
      <x:c r="H423" s="98" t="n">
        <x:f>IFERROR(VLOOKUP(D423,'Assumptions'!$A$19:$C$23,2,FALSE),0)</x:f>
        <x:v>0</x:v>
      </x:c>
      <x:c r="I423" s="93" t="n">
        <x:f>IF(D423="",0,H423*'Assumptions'!$B$10)</x:f>
        <x:v>0</x:v>
      </x:c>
      <x:c r="J423" s="337" t="n">
        <x:f>IF(D423="",0,G423-I423)</x:f>
        <x:v>0</x:v>
      </x:c>
      <x:c r="K423" s="331" t="n">
        <x:f>IF(G423=0,0,J423/G423)</x:f>
        <x:v>0</x:v>
      </x:c>
      <x:c r="L423" s="343" t="n">
        <x:f>IF(D423="",0,J423-I423*'Assumptions'!$B$11)</x:f>
        <x:v>0</x:v>
      </x:c>
      <x:c r="M423" s="80"/>
      <x:c r="N423" s="81"/>
    </x:row>
    <x:row r="424">
      <x:c r="A424" s="325"/>
      <x:c r="B424" s="328"/>
      <x:c r="C424" s="75"/>
      <x:c r="D424" s="81"/>
      <x:c r="E424" s="93" t="n">
        <x:f>IFERROR(VLOOKUP(D424,'Assumptions'!$A$19:$C$23,3,FALSE),0)</x:f>
        <x:v>0</x:v>
      </x:c>
      <x:c r="F424" s="94"/>
      <x:c r="G424" s="93" t="n">
        <x:f>IF(D424="",0,E424+F424)</x:f>
        <x:v>0</x:v>
      </x:c>
      <x:c r="H424" s="98" t="n">
        <x:f>IFERROR(VLOOKUP(D424,'Assumptions'!$A$19:$C$23,2,FALSE),0)</x:f>
        <x:v>0</x:v>
      </x:c>
      <x:c r="I424" s="93" t="n">
        <x:f>IF(D424="",0,H424*'Assumptions'!$B$10)</x:f>
        <x:v>0</x:v>
      </x:c>
      <x:c r="J424" s="337" t="n">
        <x:f>IF(D424="",0,G424-I424)</x:f>
        <x:v>0</x:v>
      </x:c>
      <x:c r="K424" s="331" t="n">
        <x:f>IF(G424=0,0,J424/G424)</x:f>
        <x:v>0</x:v>
      </x:c>
      <x:c r="L424" s="343" t="n">
        <x:f>IF(D424="",0,J424-I424*'Assumptions'!$B$11)</x:f>
        <x:v>0</x:v>
      </x:c>
      <x:c r="M424" s="80"/>
      <x:c r="N424" s="81"/>
    </x:row>
    <x:row r="425">
      <x:c r="A425" s="325"/>
      <x:c r="B425" s="328"/>
      <x:c r="C425" s="75"/>
      <x:c r="D425" s="81"/>
      <x:c r="E425" s="93" t="n">
        <x:f>IFERROR(VLOOKUP(D425,'Assumptions'!$A$19:$C$23,3,FALSE),0)</x:f>
        <x:v>0</x:v>
      </x:c>
      <x:c r="F425" s="94"/>
      <x:c r="G425" s="93" t="n">
        <x:f>IF(D425="",0,E425+F425)</x:f>
        <x:v>0</x:v>
      </x:c>
      <x:c r="H425" s="98" t="n">
        <x:f>IFERROR(VLOOKUP(D425,'Assumptions'!$A$19:$C$23,2,FALSE),0)</x:f>
        <x:v>0</x:v>
      </x:c>
      <x:c r="I425" s="93" t="n">
        <x:f>IF(D425="",0,H425*'Assumptions'!$B$10)</x:f>
        <x:v>0</x:v>
      </x:c>
      <x:c r="J425" s="337" t="n">
        <x:f>IF(D425="",0,G425-I425)</x:f>
        <x:v>0</x:v>
      </x:c>
      <x:c r="K425" s="331" t="n">
        <x:f>IF(G425=0,0,J425/G425)</x:f>
        <x:v>0</x:v>
      </x:c>
      <x:c r="L425" s="343" t="n">
        <x:f>IF(D425="",0,J425-I425*'Assumptions'!$B$11)</x:f>
        <x:v>0</x:v>
      </x:c>
      <x:c r="M425" s="80"/>
      <x:c r="N425" s="81"/>
    </x:row>
    <x:row r="426">
      <x:c r="A426" s="325"/>
      <x:c r="B426" s="328"/>
      <x:c r="C426" s="75"/>
      <x:c r="D426" s="81"/>
      <x:c r="E426" s="93" t="n">
        <x:f>IFERROR(VLOOKUP(D426,'Assumptions'!$A$19:$C$23,3,FALSE),0)</x:f>
        <x:v>0</x:v>
      </x:c>
      <x:c r="F426" s="94"/>
      <x:c r="G426" s="93" t="n">
        <x:f>IF(D426="",0,E426+F426)</x:f>
        <x:v>0</x:v>
      </x:c>
      <x:c r="H426" s="98" t="n">
        <x:f>IFERROR(VLOOKUP(D426,'Assumptions'!$A$19:$C$23,2,FALSE),0)</x:f>
        <x:v>0</x:v>
      </x:c>
      <x:c r="I426" s="93" t="n">
        <x:f>IF(D426="",0,H426*'Assumptions'!$B$10)</x:f>
        <x:v>0</x:v>
      </x:c>
      <x:c r="J426" s="337" t="n">
        <x:f>IF(D426="",0,G426-I426)</x:f>
        <x:v>0</x:v>
      </x:c>
      <x:c r="K426" s="331" t="n">
        <x:f>IF(G426=0,0,J426/G426)</x:f>
        <x:v>0</x:v>
      </x:c>
      <x:c r="L426" s="343" t="n">
        <x:f>IF(D426="",0,J426-I426*'Assumptions'!$B$11)</x:f>
        <x:v>0</x:v>
      </x:c>
      <x:c r="M426" s="80"/>
      <x:c r="N426" s="81"/>
    </x:row>
    <x:row r="427">
      <x:c r="A427" s="325"/>
      <x:c r="B427" s="328"/>
      <x:c r="C427" s="75"/>
      <x:c r="D427" s="81"/>
      <x:c r="E427" s="93" t="n">
        <x:f>IFERROR(VLOOKUP(D427,'Assumptions'!$A$19:$C$23,3,FALSE),0)</x:f>
        <x:v>0</x:v>
      </x:c>
      <x:c r="F427" s="94"/>
      <x:c r="G427" s="93" t="n">
        <x:f>IF(D427="",0,E427+F427)</x:f>
        <x:v>0</x:v>
      </x:c>
      <x:c r="H427" s="98" t="n">
        <x:f>IFERROR(VLOOKUP(D427,'Assumptions'!$A$19:$C$23,2,FALSE),0)</x:f>
        <x:v>0</x:v>
      </x:c>
      <x:c r="I427" s="93" t="n">
        <x:f>IF(D427="",0,H427*'Assumptions'!$B$10)</x:f>
        <x:v>0</x:v>
      </x:c>
      <x:c r="J427" s="337" t="n">
        <x:f>IF(D427="",0,G427-I427)</x:f>
        <x:v>0</x:v>
      </x:c>
      <x:c r="K427" s="331" t="n">
        <x:f>IF(G427=0,0,J427/G427)</x:f>
        <x:v>0</x:v>
      </x:c>
      <x:c r="L427" s="343" t="n">
        <x:f>IF(D427="",0,J427-I427*'Assumptions'!$B$11)</x:f>
        <x:v>0</x:v>
      </x:c>
      <x:c r="M427" s="80"/>
      <x:c r="N427" s="81"/>
    </x:row>
    <x:row r="428">
      <x:c r="A428" s="325"/>
      <x:c r="B428" s="328"/>
      <x:c r="C428" s="75"/>
      <x:c r="D428" s="81"/>
      <x:c r="E428" s="93" t="n">
        <x:f>IFERROR(VLOOKUP(D428,'Assumptions'!$A$19:$C$23,3,FALSE),0)</x:f>
        <x:v>0</x:v>
      </x:c>
      <x:c r="F428" s="94"/>
      <x:c r="G428" s="93" t="n">
        <x:f>IF(D428="",0,E428+F428)</x:f>
        <x:v>0</x:v>
      </x:c>
      <x:c r="H428" s="98" t="n">
        <x:f>IFERROR(VLOOKUP(D428,'Assumptions'!$A$19:$C$23,2,FALSE),0)</x:f>
        <x:v>0</x:v>
      </x:c>
      <x:c r="I428" s="93" t="n">
        <x:f>IF(D428="",0,H428*'Assumptions'!$B$10)</x:f>
        <x:v>0</x:v>
      </x:c>
      <x:c r="J428" s="337" t="n">
        <x:f>IF(D428="",0,G428-I428)</x:f>
        <x:v>0</x:v>
      </x:c>
      <x:c r="K428" s="331" t="n">
        <x:f>IF(G428=0,0,J428/G428)</x:f>
        <x:v>0</x:v>
      </x:c>
      <x:c r="L428" s="343" t="n">
        <x:f>IF(D428="",0,J428-I428*'Assumptions'!$B$11)</x:f>
        <x:v>0</x:v>
      </x:c>
      <x:c r="M428" s="80"/>
      <x:c r="N428" s="81"/>
    </x:row>
    <x:row r="429">
      <x:c r="A429" s="325"/>
      <x:c r="B429" s="328"/>
      <x:c r="C429" s="75"/>
      <x:c r="D429" s="81"/>
      <x:c r="E429" s="93" t="n">
        <x:f>IFERROR(VLOOKUP(D429,'Assumptions'!$A$19:$C$23,3,FALSE),0)</x:f>
        <x:v>0</x:v>
      </x:c>
      <x:c r="F429" s="94"/>
      <x:c r="G429" s="93" t="n">
        <x:f>IF(D429="",0,E429+F429)</x:f>
        <x:v>0</x:v>
      </x:c>
      <x:c r="H429" s="98" t="n">
        <x:f>IFERROR(VLOOKUP(D429,'Assumptions'!$A$19:$C$23,2,FALSE),0)</x:f>
        <x:v>0</x:v>
      </x:c>
      <x:c r="I429" s="93" t="n">
        <x:f>IF(D429="",0,H429*'Assumptions'!$B$10)</x:f>
        <x:v>0</x:v>
      </x:c>
      <x:c r="J429" s="337" t="n">
        <x:f>IF(D429="",0,G429-I429)</x:f>
        <x:v>0</x:v>
      </x:c>
      <x:c r="K429" s="331" t="n">
        <x:f>IF(G429=0,0,J429/G429)</x:f>
        <x:v>0</x:v>
      </x:c>
      <x:c r="L429" s="343" t="n">
        <x:f>IF(D429="",0,J429-I429*'Assumptions'!$B$11)</x:f>
        <x:v>0</x:v>
      </x:c>
      <x:c r="M429" s="80"/>
      <x:c r="N429" s="81"/>
    </x:row>
    <x:row r="430">
      <x:c r="A430" s="325"/>
      <x:c r="B430" s="328"/>
      <x:c r="C430" s="75"/>
      <x:c r="D430" s="81"/>
      <x:c r="E430" s="93" t="n">
        <x:f>IFERROR(VLOOKUP(D430,'Assumptions'!$A$19:$C$23,3,FALSE),0)</x:f>
        <x:v>0</x:v>
      </x:c>
      <x:c r="F430" s="94"/>
      <x:c r="G430" s="93" t="n">
        <x:f>IF(D430="",0,E430+F430)</x:f>
        <x:v>0</x:v>
      </x:c>
      <x:c r="H430" s="98" t="n">
        <x:f>IFERROR(VLOOKUP(D430,'Assumptions'!$A$19:$C$23,2,FALSE),0)</x:f>
        <x:v>0</x:v>
      </x:c>
      <x:c r="I430" s="93" t="n">
        <x:f>IF(D430="",0,H430*'Assumptions'!$B$10)</x:f>
        <x:v>0</x:v>
      </x:c>
      <x:c r="J430" s="337" t="n">
        <x:f>IF(D430="",0,G430-I430)</x:f>
        <x:v>0</x:v>
      </x:c>
      <x:c r="K430" s="331" t="n">
        <x:f>IF(G430=0,0,J430/G430)</x:f>
        <x:v>0</x:v>
      </x:c>
      <x:c r="L430" s="343" t="n">
        <x:f>IF(D430="",0,J430-I430*'Assumptions'!$B$11)</x:f>
        <x:v>0</x:v>
      </x:c>
      <x:c r="M430" s="80"/>
      <x:c r="N430" s="81"/>
    </x:row>
    <x:row r="431">
      <x:c r="A431" s="325"/>
      <x:c r="B431" s="328"/>
      <x:c r="C431" s="75"/>
      <x:c r="D431" s="81"/>
      <x:c r="E431" s="93" t="n">
        <x:f>IFERROR(VLOOKUP(D431,'Assumptions'!$A$19:$C$23,3,FALSE),0)</x:f>
        <x:v>0</x:v>
      </x:c>
      <x:c r="F431" s="94"/>
      <x:c r="G431" s="93" t="n">
        <x:f>IF(D431="",0,E431+F431)</x:f>
        <x:v>0</x:v>
      </x:c>
      <x:c r="H431" s="98" t="n">
        <x:f>IFERROR(VLOOKUP(D431,'Assumptions'!$A$19:$C$23,2,FALSE),0)</x:f>
        <x:v>0</x:v>
      </x:c>
      <x:c r="I431" s="93" t="n">
        <x:f>IF(D431="",0,H431*'Assumptions'!$B$10)</x:f>
        <x:v>0</x:v>
      </x:c>
      <x:c r="J431" s="337" t="n">
        <x:f>IF(D431="",0,G431-I431)</x:f>
        <x:v>0</x:v>
      </x:c>
      <x:c r="K431" s="331" t="n">
        <x:f>IF(G431=0,0,J431/G431)</x:f>
        <x:v>0</x:v>
      </x:c>
      <x:c r="L431" s="343" t="n">
        <x:f>IF(D431="",0,J431-I431*'Assumptions'!$B$11)</x:f>
        <x:v>0</x:v>
      </x:c>
      <x:c r="M431" s="80"/>
      <x:c r="N431" s="81"/>
    </x:row>
    <x:row r="432">
      <x:c r="A432" s="325"/>
      <x:c r="B432" s="328"/>
      <x:c r="C432" s="75"/>
      <x:c r="D432" s="81"/>
      <x:c r="E432" s="93" t="n">
        <x:f>IFERROR(VLOOKUP(D432,'Assumptions'!$A$19:$C$23,3,FALSE),0)</x:f>
        <x:v>0</x:v>
      </x:c>
      <x:c r="F432" s="94"/>
      <x:c r="G432" s="93" t="n">
        <x:f>IF(D432="",0,E432+F432)</x:f>
        <x:v>0</x:v>
      </x:c>
      <x:c r="H432" s="98" t="n">
        <x:f>IFERROR(VLOOKUP(D432,'Assumptions'!$A$19:$C$23,2,FALSE),0)</x:f>
        <x:v>0</x:v>
      </x:c>
      <x:c r="I432" s="93" t="n">
        <x:f>IF(D432="",0,H432*'Assumptions'!$B$10)</x:f>
        <x:v>0</x:v>
      </x:c>
      <x:c r="J432" s="337" t="n">
        <x:f>IF(D432="",0,G432-I432)</x:f>
        <x:v>0</x:v>
      </x:c>
      <x:c r="K432" s="331" t="n">
        <x:f>IF(G432=0,0,J432/G432)</x:f>
        <x:v>0</x:v>
      </x:c>
      <x:c r="L432" s="343" t="n">
        <x:f>IF(D432="",0,J432-I432*'Assumptions'!$B$11)</x:f>
        <x:v>0</x:v>
      </x:c>
      <x:c r="M432" s="80"/>
      <x:c r="N432" s="81"/>
    </x:row>
    <x:row r="433">
      <x:c r="A433" s="325"/>
      <x:c r="B433" s="328"/>
      <x:c r="C433" s="75"/>
      <x:c r="D433" s="81"/>
      <x:c r="E433" s="93" t="n">
        <x:f>IFERROR(VLOOKUP(D433,'Assumptions'!$A$19:$C$23,3,FALSE),0)</x:f>
        <x:v>0</x:v>
      </x:c>
      <x:c r="F433" s="94"/>
      <x:c r="G433" s="93" t="n">
        <x:f>IF(D433="",0,E433+F433)</x:f>
        <x:v>0</x:v>
      </x:c>
      <x:c r="H433" s="98" t="n">
        <x:f>IFERROR(VLOOKUP(D433,'Assumptions'!$A$19:$C$23,2,FALSE),0)</x:f>
        <x:v>0</x:v>
      </x:c>
      <x:c r="I433" s="93" t="n">
        <x:f>IF(D433="",0,H433*'Assumptions'!$B$10)</x:f>
        <x:v>0</x:v>
      </x:c>
      <x:c r="J433" s="337" t="n">
        <x:f>IF(D433="",0,G433-I433)</x:f>
        <x:v>0</x:v>
      </x:c>
      <x:c r="K433" s="331" t="n">
        <x:f>IF(G433=0,0,J433/G433)</x:f>
        <x:v>0</x:v>
      </x:c>
      <x:c r="L433" s="343" t="n">
        <x:f>IF(D433="",0,J433-I433*'Assumptions'!$B$11)</x:f>
        <x:v>0</x:v>
      </x:c>
      <x:c r="M433" s="80"/>
      <x:c r="N433" s="81"/>
    </x:row>
    <x:row r="434">
      <x:c r="A434" s="325"/>
      <x:c r="B434" s="328"/>
      <x:c r="C434" s="75"/>
      <x:c r="D434" s="81"/>
      <x:c r="E434" s="93" t="n">
        <x:f>IFERROR(VLOOKUP(D434,'Assumptions'!$A$19:$C$23,3,FALSE),0)</x:f>
        <x:v>0</x:v>
      </x:c>
      <x:c r="F434" s="94"/>
      <x:c r="G434" s="93" t="n">
        <x:f>IF(D434="",0,E434+F434)</x:f>
        <x:v>0</x:v>
      </x:c>
      <x:c r="H434" s="98" t="n">
        <x:f>IFERROR(VLOOKUP(D434,'Assumptions'!$A$19:$C$23,2,FALSE),0)</x:f>
        <x:v>0</x:v>
      </x:c>
      <x:c r="I434" s="93" t="n">
        <x:f>IF(D434="",0,H434*'Assumptions'!$B$10)</x:f>
        <x:v>0</x:v>
      </x:c>
      <x:c r="J434" s="337" t="n">
        <x:f>IF(D434="",0,G434-I434)</x:f>
        <x:v>0</x:v>
      </x:c>
      <x:c r="K434" s="331" t="n">
        <x:f>IF(G434=0,0,J434/G434)</x:f>
        <x:v>0</x:v>
      </x:c>
      <x:c r="L434" s="343" t="n">
        <x:f>IF(D434="",0,J434-I434*'Assumptions'!$B$11)</x:f>
        <x:v>0</x:v>
      </x:c>
      <x:c r="M434" s="80"/>
      <x:c r="N434" s="81"/>
    </x:row>
    <x:row r="435">
      <x:c r="A435" s="325"/>
      <x:c r="B435" s="328"/>
      <x:c r="C435" s="75"/>
      <x:c r="D435" s="81"/>
      <x:c r="E435" s="93" t="n">
        <x:f>IFERROR(VLOOKUP(D435,'Assumptions'!$A$19:$C$23,3,FALSE),0)</x:f>
        <x:v>0</x:v>
      </x:c>
      <x:c r="F435" s="94"/>
      <x:c r="G435" s="93" t="n">
        <x:f>IF(D435="",0,E435+F435)</x:f>
        <x:v>0</x:v>
      </x:c>
      <x:c r="H435" s="98" t="n">
        <x:f>IFERROR(VLOOKUP(D435,'Assumptions'!$A$19:$C$23,2,FALSE),0)</x:f>
        <x:v>0</x:v>
      </x:c>
      <x:c r="I435" s="93" t="n">
        <x:f>IF(D435="",0,H435*'Assumptions'!$B$10)</x:f>
        <x:v>0</x:v>
      </x:c>
      <x:c r="J435" s="337" t="n">
        <x:f>IF(D435="",0,G435-I435)</x:f>
        <x:v>0</x:v>
      </x:c>
      <x:c r="K435" s="331" t="n">
        <x:f>IF(G435=0,0,J435/G435)</x:f>
        <x:v>0</x:v>
      </x:c>
      <x:c r="L435" s="343" t="n">
        <x:f>IF(D435="",0,J435-I435*'Assumptions'!$B$11)</x:f>
        <x:v>0</x:v>
      </x:c>
      <x:c r="M435" s="80"/>
      <x:c r="N435" s="81"/>
    </x:row>
    <x:row r="436">
      <x:c r="A436" s="325"/>
      <x:c r="B436" s="328"/>
      <x:c r="C436" s="75"/>
      <x:c r="D436" s="81"/>
      <x:c r="E436" s="93" t="n">
        <x:f>IFERROR(VLOOKUP(D436,'Assumptions'!$A$19:$C$23,3,FALSE),0)</x:f>
        <x:v>0</x:v>
      </x:c>
      <x:c r="F436" s="94"/>
      <x:c r="G436" s="93" t="n">
        <x:f>IF(D436="",0,E436+F436)</x:f>
        <x:v>0</x:v>
      </x:c>
      <x:c r="H436" s="98" t="n">
        <x:f>IFERROR(VLOOKUP(D436,'Assumptions'!$A$19:$C$23,2,FALSE),0)</x:f>
        <x:v>0</x:v>
      </x:c>
      <x:c r="I436" s="93" t="n">
        <x:f>IF(D436="",0,H436*'Assumptions'!$B$10)</x:f>
        <x:v>0</x:v>
      </x:c>
      <x:c r="J436" s="337" t="n">
        <x:f>IF(D436="",0,G436-I436)</x:f>
        <x:v>0</x:v>
      </x:c>
      <x:c r="K436" s="331" t="n">
        <x:f>IF(G436=0,0,J436/G436)</x:f>
        <x:v>0</x:v>
      </x:c>
      <x:c r="L436" s="343" t="n">
        <x:f>IF(D436="",0,J436-I436*'Assumptions'!$B$11)</x:f>
        <x:v>0</x:v>
      </x:c>
      <x:c r="M436" s="80"/>
      <x:c r="N436" s="81"/>
    </x:row>
    <x:row r="437">
      <x:c r="A437" s="325"/>
      <x:c r="B437" s="328"/>
      <x:c r="C437" s="75"/>
      <x:c r="D437" s="81"/>
      <x:c r="E437" s="93" t="n">
        <x:f>IFERROR(VLOOKUP(D437,'Assumptions'!$A$19:$C$23,3,FALSE),0)</x:f>
        <x:v>0</x:v>
      </x:c>
      <x:c r="F437" s="94"/>
      <x:c r="G437" s="93" t="n">
        <x:f>IF(D437="",0,E437+F437)</x:f>
        <x:v>0</x:v>
      </x:c>
      <x:c r="H437" s="98" t="n">
        <x:f>IFERROR(VLOOKUP(D437,'Assumptions'!$A$19:$C$23,2,FALSE),0)</x:f>
        <x:v>0</x:v>
      </x:c>
      <x:c r="I437" s="93" t="n">
        <x:f>IF(D437="",0,H437*'Assumptions'!$B$10)</x:f>
        <x:v>0</x:v>
      </x:c>
      <x:c r="J437" s="337" t="n">
        <x:f>IF(D437="",0,G437-I437)</x:f>
        <x:v>0</x:v>
      </x:c>
      <x:c r="K437" s="331" t="n">
        <x:f>IF(G437=0,0,J437/G437)</x:f>
        <x:v>0</x:v>
      </x:c>
      <x:c r="L437" s="343" t="n">
        <x:f>IF(D437="",0,J437-I437*'Assumptions'!$B$11)</x:f>
        <x:v>0</x:v>
      </x:c>
      <x:c r="M437" s="80"/>
      <x:c r="N437" s="81"/>
    </x:row>
    <x:row r="438">
      <x:c r="A438" s="325"/>
      <x:c r="B438" s="328"/>
      <x:c r="C438" s="75"/>
      <x:c r="D438" s="81"/>
      <x:c r="E438" s="93" t="n">
        <x:f>IFERROR(VLOOKUP(D438,'Assumptions'!$A$19:$C$23,3,FALSE),0)</x:f>
        <x:v>0</x:v>
      </x:c>
      <x:c r="F438" s="94"/>
      <x:c r="G438" s="93" t="n">
        <x:f>IF(D438="",0,E438+F438)</x:f>
        <x:v>0</x:v>
      </x:c>
      <x:c r="H438" s="98" t="n">
        <x:f>IFERROR(VLOOKUP(D438,'Assumptions'!$A$19:$C$23,2,FALSE),0)</x:f>
        <x:v>0</x:v>
      </x:c>
      <x:c r="I438" s="93" t="n">
        <x:f>IF(D438="",0,H438*'Assumptions'!$B$10)</x:f>
        <x:v>0</x:v>
      </x:c>
      <x:c r="J438" s="337" t="n">
        <x:f>IF(D438="",0,G438-I438)</x:f>
        <x:v>0</x:v>
      </x:c>
      <x:c r="K438" s="331" t="n">
        <x:f>IF(G438=0,0,J438/G438)</x:f>
        <x:v>0</x:v>
      </x:c>
      <x:c r="L438" s="343" t="n">
        <x:f>IF(D438="",0,J438-I438*'Assumptions'!$B$11)</x:f>
        <x:v>0</x:v>
      </x:c>
      <x:c r="M438" s="80"/>
      <x:c r="N438" s="81"/>
    </x:row>
    <x:row r="439">
      <x:c r="A439" s="325"/>
      <x:c r="B439" s="328"/>
      <x:c r="C439" s="75"/>
      <x:c r="D439" s="81"/>
      <x:c r="E439" s="93" t="n">
        <x:f>IFERROR(VLOOKUP(D439,'Assumptions'!$A$19:$C$23,3,FALSE),0)</x:f>
        <x:v>0</x:v>
      </x:c>
      <x:c r="F439" s="94"/>
      <x:c r="G439" s="93" t="n">
        <x:f>IF(D439="",0,E439+F439)</x:f>
        <x:v>0</x:v>
      </x:c>
      <x:c r="H439" s="98" t="n">
        <x:f>IFERROR(VLOOKUP(D439,'Assumptions'!$A$19:$C$23,2,FALSE),0)</x:f>
        <x:v>0</x:v>
      </x:c>
      <x:c r="I439" s="93" t="n">
        <x:f>IF(D439="",0,H439*'Assumptions'!$B$10)</x:f>
        <x:v>0</x:v>
      </x:c>
      <x:c r="J439" s="337" t="n">
        <x:f>IF(D439="",0,G439-I439)</x:f>
        <x:v>0</x:v>
      </x:c>
      <x:c r="K439" s="331" t="n">
        <x:f>IF(G439=0,0,J439/G439)</x:f>
        <x:v>0</x:v>
      </x:c>
      <x:c r="L439" s="343" t="n">
        <x:f>IF(D439="",0,J439-I439*'Assumptions'!$B$11)</x:f>
        <x:v>0</x:v>
      </x:c>
      <x:c r="M439" s="80"/>
      <x:c r="N439" s="81"/>
    </x:row>
    <x:row r="440">
      <x:c r="A440" s="325"/>
      <x:c r="B440" s="328"/>
      <x:c r="C440" s="75"/>
      <x:c r="D440" s="81"/>
      <x:c r="E440" s="93" t="n">
        <x:f>IFERROR(VLOOKUP(D440,'Assumptions'!$A$19:$C$23,3,FALSE),0)</x:f>
        <x:v>0</x:v>
      </x:c>
      <x:c r="F440" s="94"/>
      <x:c r="G440" s="93" t="n">
        <x:f>IF(D440="",0,E440+F440)</x:f>
        <x:v>0</x:v>
      </x:c>
      <x:c r="H440" s="98" t="n">
        <x:f>IFERROR(VLOOKUP(D440,'Assumptions'!$A$19:$C$23,2,FALSE),0)</x:f>
        <x:v>0</x:v>
      </x:c>
      <x:c r="I440" s="93" t="n">
        <x:f>IF(D440="",0,H440*'Assumptions'!$B$10)</x:f>
        <x:v>0</x:v>
      </x:c>
      <x:c r="J440" s="337" t="n">
        <x:f>IF(D440="",0,G440-I440)</x:f>
        <x:v>0</x:v>
      </x:c>
      <x:c r="K440" s="331" t="n">
        <x:f>IF(G440=0,0,J440/G440)</x:f>
        <x:v>0</x:v>
      </x:c>
      <x:c r="L440" s="343" t="n">
        <x:f>IF(D440="",0,J440-I440*'Assumptions'!$B$11)</x:f>
        <x:v>0</x:v>
      </x:c>
      <x:c r="M440" s="80"/>
      <x:c r="N440" s="81"/>
    </x:row>
    <x:row r="441">
      <x:c r="A441" s="325"/>
      <x:c r="B441" s="328"/>
      <x:c r="C441" s="75"/>
      <x:c r="D441" s="81"/>
      <x:c r="E441" s="93" t="n">
        <x:f>IFERROR(VLOOKUP(D441,'Assumptions'!$A$19:$C$23,3,FALSE),0)</x:f>
        <x:v>0</x:v>
      </x:c>
      <x:c r="F441" s="94"/>
      <x:c r="G441" s="93" t="n">
        <x:f>IF(D441="",0,E441+F441)</x:f>
        <x:v>0</x:v>
      </x:c>
      <x:c r="H441" s="98" t="n">
        <x:f>IFERROR(VLOOKUP(D441,'Assumptions'!$A$19:$C$23,2,FALSE),0)</x:f>
        <x:v>0</x:v>
      </x:c>
      <x:c r="I441" s="93" t="n">
        <x:f>IF(D441="",0,H441*'Assumptions'!$B$10)</x:f>
        <x:v>0</x:v>
      </x:c>
      <x:c r="J441" s="337" t="n">
        <x:f>IF(D441="",0,G441-I441)</x:f>
        <x:v>0</x:v>
      </x:c>
      <x:c r="K441" s="331" t="n">
        <x:f>IF(G441=0,0,J441/G441)</x:f>
        <x:v>0</x:v>
      </x:c>
      <x:c r="L441" s="343" t="n">
        <x:f>IF(D441="",0,J441-I441*'Assumptions'!$B$11)</x:f>
        <x:v>0</x:v>
      </x:c>
      <x:c r="M441" s="80"/>
      <x:c r="N441" s="81"/>
    </x:row>
    <x:row r="442">
      <x:c r="A442" s="325"/>
      <x:c r="B442" s="328"/>
      <x:c r="C442" s="75"/>
      <x:c r="D442" s="81"/>
      <x:c r="E442" s="93" t="n">
        <x:f>IFERROR(VLOOKUP(D442,'Assumptions'!$A$19:$C$23,3,FALSE),0)</x:f>
        <x:v>0</x:v>
      </x:c>
      <x:c r="F442" s="94"/>
      <x:c r="G442" s="93" t="n">
        <x:f>IF(D442="",0,E442+F442)</x:f>
        <x:v>0</x:v>
      </x:c>
      <x:c r="H442" s="98" t="n">
        <x:f>IFERROR(VLOOKUP(D442,'Assumptions'!$A$19:$C$23,2,FALSE),0)</x:f>
        <x:v>0</x:v>
      </x:c>
      <x:c r="I442" s="93" t="n">
        <x:f>IF(D442="",0,H442*'Assumptions'!$B$10)</x:f>
        <x:v>0</x:v>
      </x:c>
      <x:c r="J442" s="337" t="n">
        <x:f>IF(D442="",0,G442-I442)</x:f>
        <x:v>0</x:v>
      </x:c>
      <x:c r="K442" s="331" t="n">
        <x:f>IF(G442=0,0,J442/G442)</x:f>
        <x:v>0</x:v>
      </x:c>
      <x:c r="L442" s="343" t="n">
        <x:f>IF(D442="",0,J442-I442*'Assumptions'!$B$11)</x:f>
        <x:v>0</x:v>
      </x:c>
      <x:c r="M442" s="80"/>
      <x:c r="N442" s="81"/>
    </x:row>
    <x:row r="443">
      <x:c r="A443" s="325"/>
      <x:c r="B443" s="328"/>
      <x:c r="C443" s="75"/>
      <x:c r="D443" s="81"/>
      <x:c r="E443" s="93" t="n">
        <x:f>IFERROR(VLOOKUP(D443,'Assumptions'!$A$19:$C$23,3,FALSE),0)</x:f>
        <x:v>0</x:v>
      </x:c>
      <x:c r="F443" s="94"/>
      <x:c r="G443" s="93" t="n">
        <x:f>IF(D443="",0,E443+F443)</x:f>
        <x:v>0</x:v>
      </x:c>
      <x:c r="H443" s="98" t="n">
        <x:f>IFERROR(VLOOKUP(D443,'Assumptions'!$A$19:$C$23,2,FALSE),0)</x:f>
        <x:v>0</x:v>
      </x:c>
      <x:c r="I443" s="93" t="n">
        <x:f>IF(D443="",0,H443*'Assumptions'!$B$10)</x:f>
        <x:v>0</x:v>
      </x:c>
      <x:c r="J443" s="337" t="n">
        <x:f>IF(D443="",0,G443-I443)</x:f>
        <x:v>0</x:v>
      </x:c>
      <x:c r="K443" s="331" t="n">
        <x:f>IF(G443=0,0,J443/G443)</x:f>
        <x:v>0</x:v>
      </x:c>
      <x:c r="L443" s="343" t="n">
        <x:f>IF(D443="",0,J443-I443*'Assumptions'!$B$11)</x:f>
        <x:v>0</x:v>
      </x:c>
      <x:c r="M443" s="80"/>
      <x:c r="N443" s="81"/>
    </x:row>
    <x:row r="444">
      <x:c r="A444" s="325"/>
      <x:c r="B444" s="328"/>
      <x:c r="C444" s="75"/>
      <x:c r="D444" s="81"/>
      <x:c r="E444" s="93" t="n">
        <x:f>IFERROR(VLOOKUP(D444,'Assumptions'!$A$19:$C$23,3,FALSE),0)</x:f>
        <x:v>0</x:v>
      </x:c>
      <x:c r="F444" s="94"/>
      <x:c r="G444" s="93" t="n">
        <x:f>IF(D444="",0,E444+F444)</x:f>
        <x:v>0</x:v>
      </x:c>
      <x:c r="H444" s="98" t="n">
        <x:f>IFERROR(VLOOKUP(D444,'Assumptions'!$A$19:$C$23,2,FALSE),0)</x:f>
        <x:v>0</x:v>
      </x:c>
      <x:c r="I444" s="93" t="n">
        <x:f>IF(D444="",0,H444*'Assumptions'!$B$10)</x:f>
        <x:v>0</x:v>
      </x:c>
      <x:c r="J444" s="337" t="n">
        <x:f>IF(D444="",0,G444-I444)</x:f>
        <x:v>0</x:v>
      </x:c>
      <x:c r="K444" s="331" t="n">
        <x:f>IF(G444=0,0,J444/G444)</x:f>
        <x:v>0</x:v>
      </x:c>
      <x:c r="L444" s="343" t="n">
        <x:f>IF(D444="",0,J444-I444*'Assumptions'!$B$11)</x:f>
        <x:v>0</x:v>
      </x:c>
      <x:c r="M444" s="80"/>
      <x:c r="N444" s="81"/>
    </x:row>
    <x:row r="445">
      <x:c r="A445" s="325"/>
      <x:c r="B445" s="328"/>
      <x:c r="C445" s="75"/>
      <x:c r="D445" s="81"/>
      <x:c r="E445" s="93" t="n">
        <x:f>IFERROR(VLOOKUP(D445,'Assumptions'!$A$19:$C$23,3,FALSE),0)</x:f>
        <x:v>0</x:v>
      </x:c>
      <x:c r="F445" s="94"/>
      <x:c r="G445" s="93" t="n">
        <x:f>IF(D445="",0,E445+F445)</x:f>
        <x:v>0</x:v>
      </x:c>
      <x:c r="H445" s="98" t="n">
        <x:f>IFERROR(VLOOKUP(D445,'Assumptions'!$A$19:$C$23,2,FALSE),0)</x:f>
        <x:v>0</x:v>
      </x:c>
      <x:c r="I445" s="93" t="n">
        <x:f>IF(D445="",0,H445*'Assumptions'!$B$10)</x:f>
        <x:v>0</x:v>
      </x:c>
      <x:c r="J445" s="337" t="n">
        <x:f>IF(D445="",0,G445-I445)</x:f>
        <x:v>0</x:v>
      </x:c>
      <x:c r="K445" s="331" t="n">
        <x:f>IF(G445=0,0,J445/G445)</x:f>
        <x:v>0</x:v>
      </x:c>
      <x:c r="L445" s="343" t="n">
        <x:f>IF(D445="",0,J445-I445*'Assumptions'!$B$11)</x:f>
        <x:v>0</x:v>
      </x:c>
      <x:c r="M445" s="80"/>
      <x:c r="N445" s="81"/>
    </x:row>
    <x:row r="446">
      <x:c r="A446" s="325"/>
      <x:c r="B446" s="328"/>
      <x:c r="C446" s="75"/>
      <x:c r="D446" s="81"/>
      <x:c r="E446" s="93" t="n">
        <x:f>IFERROR(VLOOKUP(D446,'Assumptions'!$A$19:$C$23,3,FALSE),0)</x:f>
        <x:v>0</x:v>
      </x:c>
      <x:c r="F446" s="94"/>
      <x:c r="G446" s="93" t="n">
        <x:f>IF(D446="",0,E446+F446)</x:f>
        <x:v>0</x:v>
      </x:c>
      <x:c r="H446" s="98" t="n">
        <x:f>IFERROR(VLOOKUP(D446,'Assumptions'!$A$19:$C$23,2,FALSE),0)</x:f>
        <x:v>0</x:v>
      </x:c>
      <x:c r="I446" s="93" t="n">
        <x:f>IF(D446="",0,H446*'Assumptions'!$B$10)</x:f>
        <x:v>0</x:v>
      </x:c>
      <x:c r="J446" s="337" t="n">
        <x:f>IF(D446="",0,G446-I446)</x:f>
        <x:v>0</x:v>
      </x:c>
      <x:c r="K446" s="331" t="n">
        <x:f>IF(G446=0,0,J446/G446)</x:f>
        <x:v>0</x:v>
      </x:c>
      <x:c r="L446" s="343" t="n">
        <x:f>IF(D446="",0,J446-I446*'Assumptions'!$B$11)</x:f>
        <x:v>0</x:v>
      </x:c>
      <x:c r="M446" s="80"/>
      <x:c r="N446" s="81"/>
    </x:row>
    <x:row r="447">
      <x:c r="A447" s="325"/>
      <x:c r="B447" s="328"/>
      <x:c r="C447" s="75"/>
      <x:c r="D447" s="81"/>
      <x:c r="E447" s="93" t="n">
        <x:f>IFERROR(VLOOKUP(D447,'Assumptions'!$A$19:$C$23,3,FALSE),0)</x:f>
        <x:v>0</x:v>
      </x:c>
      <x:c r="F447" s="94"/>
      <x:c r="G447" s="93" t="n">
        <x:f>IF(D447="",0,E447+F447)</x:f>
        <x:v>0</x:v>
      </x:c>
      <x:c r="H447" s="98" t="n">
        <x:f>IFERROR(VLOOKUP(D447,'Assumptions'!$A$19:$C$23,2,FALSE),0)</x:f>
        <x:v>0</x:v>
      </x:c>
      <x:c r="I447" s="93" t="n">
        <x:f>IF(D447="",0,H447*'Assumptions'!$B$10)</x:f>
        <x:v>0</x:v>
      </x:c>
      <x:c r="J447" s="337" t="n">
        <x:f>IF(D447="",0,G447-I447)</x:f>
        <x:v>0</x:v>
      </x:c>
      <x:c r="K447" s="331" t="n">
        <x:f>IF(G447=0,0,J447/G447)</x:f>
        <x:v>0</x:v>
      </x:c>
      <x:c r="L447" s="343" t="n">
        <x:f>IF(D447="",0,J447-I447*'Assumptions'!$B$11)</x:f>
        <x:v>0</x:v>
      </x:c>
      <x:c r="M447" s="80"/>
      <x:c r="N447" s="81"/>
    </x:row>
    <x:row r="448">
      <x:c r="A448" s="325"/>
      <x:c r="B448" s="328"/>
      <x:c r="C448" s="75"/>
      <x:c r="D448" s="81"/>
      <x:c r="E448" s="93" t="n">
        <x:f>IFERROR(VLOOKUP(D448,'Assumptions'!$A$19:$C$23,3,FALSE),0)</x:f>
        <x:v>0</x:v>
      </x:c>
      <x:c r="F448" s="94"/>
      <x:c r="G448" s="93" t="n">
        <x:f>IF(D448="",0,E448+F448)</x:f>
        <x:v>0</x:v>
      </x:c>
      <x:c r="H448" s="98" t="n">
        <x:f>IFERROR(VLOOKUP(D448,'Assumptions'!$A$19:$C$23,2,FALSE),0)</x:f>
        <x:v>0</x:v>
      </x:c>
      <x:c r="I448" s="93" t="n">
        <x:f>IF(D448="",0,H448*'Assumptions'!$B$10)</x:f>
        <x:v>0</x:v>
      </x:c>
      <x:c r="J448" s="337" t="n">
        <x:f>IF(D448="",0,G448-I448)</x:f>
        <x:v>0</x:v>
      </x:c>
      <x:c r="K448" s="331" t="n">
        <x:f>IF(G448=0,0,J448/G448)</x:f>
        <x:v>0</x:v>
      </x:c>
      <x:c r="L448" s="343" t="n">
        <x:f>IF(D448="",0,J448-I448*'Assumptions'!$B$11)</x:f>
        <x:v>0</x:v>
      </x:c>
      <x:c r="M448" s="80"/>
      <x:c r="N448" s="81"/>
    </x:row>
    <x:row r="449">
      <x:c r="A449" s="325"/>
      <x:c r="B449" s="328"/>
      <x:c r="C449" s="75"/>
      <x:c r="D449" s="81"/>
      <x:c r="E449" s="93" t="n">
        <x:f>IFERROR(VLOOKUP(D449,'Assumptions'!$A$19:$C$23,3,FALSE),0)</x:f>
        <x:v>0</x:v>
      </x:c>
      <x:c r="F449" s="94"/>
      <x:c r="G449" s="93" t="n">
        <x:f>IF(D449="",0,E449+F449)</x:f>
        <x:v>0</x:v>
      </x:c>
      <x:c r="H449" s="98" t="n">
        <x:f>IFERROR(VLOOKUP(D449,'Assumptions'!$A$19:$C$23,2,FALSE),0)</x:f>
        <x:v>0</x:v>
      </x:c>
      <x:c r="I449" s="93" t="n">
        <x:f>IF(D449="",0,H449*'Assumptions'!$B$10)</x:f>
        <x:v>0</x:v>
      </x:c>
      <x:c r="J449" s="337" t="n">
        <x:f>IF(D449="",0,G449-I449)</x:f>
        <x:v>0</x:v>
      </x:c>
      <x:c r="K449" s="331" t="n">
        <x:f>IF(G449=0,0,J449/G449)</x:f>
        <x:v>0</x:v>
      </x:c>
      <x:c r="L449" s="343" t="n">
        <x:f>IF(D449="",0,J449-I449*'Assumptions'!$B$11)</x:f>
        <x:v>0</x:v>
      </x:c>
      <x:c r="M449" s="80"/>
      <x:c r="N449" s="81"/>
    </x:row>
    <x:row r="450">
      <x:c r="A450" s="325"/>
      <x:c r="B450" s="328"/>
      <x:c r="C450" s="75"/>
      <x:c r="D450" s="81"/>
      <x:c r="E450" s="93" t="n">
        <x:f>IFERROR(VLOOKUP(D450,'Assumptions'!$A$19:$C$23,3,FALSE),0)</x:f>
        <x:v>0</x:v>
      </x:c>
      <x:c r="F450" s="94"/>
      <x:c r="G450" s="93" t="n">
        <x:f>IF(D450="",0,E450+F450)</x:f>
        <x:v>0</x:v>
      </x:c>
      <x:c r="H450" s="98" t="n">
        <x:f>IFERROR(VLOOKUP(D450,'Assumptions'!$A$19:$C$23,2,FALSE),0)</x:f>
        <x:v>0</x:v>
      </x:c>
      <x:c r="I450" s="93" t="n">
        <x:f>IF(D450="",0,H450*'Assumptions'!$B$10)</x:f>
        <x:v>0</x:v>
      </x:c>
      <x:c r="J450" s="337" t="n">
        <x:f>IF(D450="",0,G450-I450)</x:f>
        <x:v>0</x:v>
      </x:c>
      <x:c r="K450" s="331" t="n">
        <x:f>IF(G450=0,0,J450/G450)</x:f>
        <x:v>0</x:v>
      </x:c>
      <x:c r="L450" s="343" t="n">
        <x:f>IF(D450="",0,J450-I450*'Assumptions'!$B$11)</x:f>
        <x:v>0</x:v>
      </x:c>
      <x:c r="M450" s="80"/>
      <x:c r="N450" s="81"/>
    </x:row>
    <x:row r="451">
      <x:c r="A451" s="325"/>
      <x:c r="B451" s="328"/>
      <x:c r="C451" s="75"/>
      <x:c r="D451" s="81"/>
      <x:c r="E451" s="93" t="n">
        <x:f>IFERROR(VLOOKUP(D451,'Assumptions'!$A$19:$C$23,3,FALSE),0)</x:f>
        <x:v>0</x:v>
      </x:c>
      <x:c r="F451" s="94"/>
      <x:c r="G451" s="93" t="n">
        <x:f>IF(D451="",0,E451+F451)</x:f>
        <x:v>0</x:v>
      </x:c>
      <x:c r="H451" s="98" t="n">
        <x:f>IFERROR(VLOOKUP(D451,'Assumptions'!$A$19:$C$23,2,FALSE),0)</x:f>
        <x:v>0</x:v>
      </x:c>
      <x:c r="I451" s="93" t="n">
        <x:f>IF(D451="",0,H451*'Assumptions'!$B$10)</x:f>
        <x:v>0</x:v>
      </x:c>
      <x:c r="J451" s="337" t="n">
        <x:f>IF(D451="",0,G451-I451)</x:f>
        <x:v>0</x:v>
      </x:c>
      <x:c r="K451" s="331" t="n">
        <x:f>IF(G451=0,0,J451/G451)</x:f>
        <x:v>0</x:v>
      </x:c>
      <x:c r="L451" s="343" t="n">
        <x:f>IF(D451="",0,J451-I451*'Assumptions'!$B$11)</x:f>
        <x:v>0</x:v>
      </x:c>
      <x:c r="M451" s="80"/>
      <x:c r="N451" s="81"/>
    </x:row>
    <x:row r="452">
      <x:c r="A452" s="325"/>
      <x:c r="B452" s="328"/>
      <x:c r="C452" s="75"/>
      <x:c r="D452" s="81"/>
      <x:c r="E452" s="93" t="n">
        <x:f>IFERROR(VLOOKUP(D452,'Assumptions'!$A$19:$C$23,3,FALSE),0)</x:f>
        <x:v>0</x:v>
      </x:c>
      <x:c r="F452" s="94"/>
      <x:c r="G452" s="93" t="n">
        <x:f>IF(D452="",0,E452+F452)</x:f>
        <x:v>0</x:v>
      </x:c>
      <x:c r="H452" s="98" t="n">
        <x:f>IFERROR(VLOOKUP(D452,'Assumptions'!$A$19:$C$23,2,FALSE),0)</x:f>
        <x:v>0</x:v>
      </x:c>
      <x:c r="I452" s="93" t="n">
        <x:f>IF(D452="",0,H452*'Assumptions'!$B$10)</x:f>
        <x:v>0</x:v>
      </x:c>
      <x:c r="J452" s="337" t="n">
        <x:f>IF(D452="",0,G452-I452)</x:f>
        <x:v>0</x:v>
      </x:c>
      <x:c r="K452" s="331" t="n">
        <x:f>IF(G452=0,0,J452/G452)</x:f>
        <x:v>0</x:v>
      </x:c>
      <x:c r="L452" s="343" t="n">
        <x:f>IF(D452="",0,J452-I452*'Assumptions'!$B$11)</x:f>
        <x:v>0</x:v>
      </x:c>
      <x:c r="M452" s="80"/>
      <x:c r="N452" s="81"/>
    </x:row>
    <x:row r="453">
      <x:c r="A453" s="325"/>
      <x:c r="B453" s="328"/>
      <x:c r="C453" s="75"/>
      <x:c r="D453" s="81"/>
      <x:c r="E453" s="93" t="n">
        <x:f>IFERROR(VLOOKUP(D453,'Assumptions'!$A$19:$C$23,3,FALSE),0)</x:f>
        <x:v>0</x:v>
      </x:c>
      <x:c r="F453" s="94"/>
      <x:c r="G453" s="93" t="n">
        <x:f>IF(D453="",0,E453+F453)</x:f>
        <x:v>0</x:v>
      </x:c>
      <x:c r="H453" s="98" t="n">
        <x:f>IFERROR(VLOOKUP(D453,'Assumptions'!$A$19:$C$23,2,FALSE),0)</x:f>
        <x:v>0</x:v>
      </x:c>
      <x:c r="I453" s="93" t="n">
        <x:f>IF(D453="",0,H453*'Assumptions'!$B$10)</x:f>
        <x:v>0</x:v>
      </x:c>
      <x:c r="J453" s="337" t="n">
        <x:f>IF(D453="",0,G453-I453)</x:f>
        <x:v>0</x:v>
      </x:c>
      <x:c r="K453" s="331" t="n">
        <x:f>IF(G453=0,0,J453/G453)</x:f>
        <x:v>0</x:v>
      </x:c>
      <x:c r="L453" s="343" t="n">
        <x:f>IF(D453="",0,J453-I453*'Assumptions'!$B$11)</x:f>
        <x:v>0</x:v>
      </x:c>
      <x:c r="M453" s="80"/>
      <x:c r="N453" s="81"/>
    </x:row>
    <x:row r="454">
      <x:c r="A454" s="325"/>
      <x:c r="B454" s="328"/>
      <x:c r="C454" s="75"/>
      <x:c r="D454" s="81"/>
      <x:c r="E454" s="93" t="n">
        <x:f>IFERROR(VLOOKUP(D454,'Assumptions'!$A$19:$C$23,3,FALSE),0)</x:f>
        <x:v>0</x:v>
      </x:c>
      <x:c r="F454" s="94"/>
      <x:c r="G454" s="93" t="n">
        <x:f>IF(D454="",0,E454+F454)</x:f>
        <x:v>0</x:v>
      </x:c>
      <x:c r="H454" s="98" t="n">
        <x:f>IFERROR(VLOOKUP(D454,'Assumptions'!$A$19:$C$23,2,FALSE),0)</x:f>
        <x:v>0</x:v>
      </x:c>
      <x:c r="I454" s="93" t="n">
        <x:f>IF(D454="",0,H454*'Assumptions'!$B$10)</x:f>
        <x:v>0</x:v>
      </x:c>
      <x:c r="J454" s="337" t="n">
        <x:f>IF(D454="",0,G454-I454)</x:f>
        <x:v>0</x:v>
      </x:c>
      <x:c r="K454" s="331" t="n">
        <x:f>IF(G454=0,0,J454/G454)</x:f>
        <x:v>0</x:v>
      </x:c>
      <x:c r="L454" s="343" t="n">
        <x:f>IF(D454="",0,J454-I454*'Assumptions'!$B$11)</x:f>
        <x:v>0</x:v>
      </x:c>
      <x:c r="M454" s="80"/>
      <x:c r="N454" s="81"/>
    </x:row>
    <x:row r="455">
      <x:c r="A455" s="325"/>
      <x:c r="B455" s="328"/>
      <x:c r="C455" s="75"/>
      <x:c r="D455" s="81"/>
      <x:c r="E455" s="93" t="n">
        <x:f>IFERROR(VLOOKUP(D455,'Assumptions'!$A$19:$C$23,3,FALSE),0)</x:f>
        <x:v>0</x:v>
      </x:c>
      <x:c r="F455" s="94"/>
      <x:c r="G455" s="93" t="n">
        <x:f>IF(D455="",0,E455+F455)</x:f>
        <x:v>0</x:v>
      </x:c>
      <x:c r="H455" s="98" t="n">
        <x:f>IFERROR(VLOOKUP(D455,'Assumptions'!$A$19:$C$23,2,FALSE),0)</x:f>
        <x:v>0</x:v>
      </x:c>
      <x:c r="I455" s="93" t="n">
        <x:f>IF(D455="",0,H455*'Assumptions'!$B$10)</x:f>
        <x:v>0</x:v>
      </x:c>
      <x:c r="J455" s="337" t="n">
        <x:f>IF(D455="",0,G455-I455)</x:f>
        <x:v>0</x:v>
      </x:c>
      <x:c r="K455" s="331" t="n">
        <x:f>IF(G455=0,0,J455/G455)</x:f>
        <x:v>0</x:v>
      </x:c>
      <x:c r="L455" s="343" t="n">
        <x:f>IF(D455="",0,J455-I455*'Assumptions'!$B$11)</x:f>
        <x:v>0</x:v>
      </x:c>
      <x:c r="M455" s="80"/>
      <x:c r="N455" s="81"/>
    </x:row>
    <x:row r="456">
      <x:c r="A456" s="325"/>
      <x:c r="B456" s="328"/>
      <x:c r="C456" s="75"/>
      <x:c r="D456" s="81"/>
      <x:c r="E456" s="93" t="n">
        <x:f>IFERROR(VLOOKUP(D456,'Assumptions'!$A$19:$C$23,3,FALSE),0)</x:f>
        <x:v>0</x:v>
      </x:c>
      <x:c r="F456" s="94"/>
      <x:c r="G456" s="93" t="n">
        <x:f>IF(D456="",0,E456+F456)</x:f>
        <x:v>0</x:v>
      </x:c>
      <x:c r="H456" s="98" t="n">
        <x:f>IFERROR(VLOOKUP(D456,'Assumptions'!$A$19:$C$23,2,FALSE),0)</x:f>
        <x:v>0</x:v>
      </x:c>
      <x:c r="I456" s="93" t="n">
        <x:f>IF(D456="",0,H456*'Assumptions'!$B$10)</x:f>
        <x:v>0</x:v>
      </x:c>
      <x:c r="J456" s="337" t="n">
        <x:f>IF(D456="",0,G456-I456)</x:f>
        <x:v>0</x:v>
      </x:c>
      <x:c r="K456" s="331" t="n">
        <x:f>IF(G456=0,0,J456/G456)</x:f>
        <x:v>0</x:v>
      </x:c>
      <x:c r="L456" s="343" t="n">
        <x:f>IF(D456="",0,J456-I456*'Assumptions'!$B$11)</x:f>
        <x:v>0</x:v>
      </x:c>
      <x:c r="M456" s="80"/>
      <x:c r="N456" s="81"/>
    </x:row>
    <x:row r="457">
      <x:c r="A457" s="325"/>
      <x:c r="B457" s="328"/>
      <x:c r="C457" s="75"/>
      <x:c r="D457" s="81"/>
      <x:c r="E457" s="93" t="n">
        <x:f>IFERROR(VLOOKUP(D457,'Assumptions'!$A$19:$C$23,3,FALSE),0)</x:f>
        <x:v>0</x:v>
      </x:c>
      <x:c r="F457" s="94"/>
      <x:c r="G457" s="93" t="n">
        <x:f>IF(D457="",0,E457+F457)</x:f>
        <x:v>0</x:v>
      </x:c>
      <x:c r="H457" s="98" t="n">
        <x:f>IFERROR(VLOOKUP(D457,'Assumptions'!$A$19:$C$23,2,FALSE),0)</x:f>
        <x:v>0</x:v>
      </x:c>
      <x:c r="I457" s="93" t="n">
        <x:f>IF(D457="",0,H457*'Assumptions'!$B$10)</x:f>
        <x:v>0</x:v>
      </x:c>
      <x:c r="J457" s="337" t="n">
        <x:f>IF(D457="",0,G457-I457)</x:f>
        <x:v>0</x:v>
      </x:c>
      <x:c r="K457" s="331" t="n">
        <x:f>IF(G457=0,0,J457/G457)</x:f>
        <x:v>0</x:v>
      </x:c>
      <x:c r="L457" s="343" t="n">
        <x:f>IF(D457="",0,J457-I457*'Assumptions'!$B$11)</x:f>
        <x:v>0</x:v>
      </x:c>
      <x:c r="M457" s="80"/>
      <x:c r="N457" s="81"/>
    </x:row>
    <x:row r="458">
      <x:c r="A458" s="325"/>
      <x:c r="B458" s="328"/>
      <x:c r="C458" s="75"/>
      <x:c r="D458" s="81"/>
      <x:c r="E458" s="93" t="n">
        <x:f>IFERROR(VLOOKUP(D458,'Assumptions'!$A$19:$C$23,3,FALSE),0)</x:f>
        <x:v>0</x:v>
      </x:c>
      <x:c r="F458" s="94"/>
      <x:c r="G458" s="93" t="n">
        <x:f>IF(D458="",0,E458+F458)</x:f>
        <x:v>0</x:v>
      </x:c>
      <x:c r="H458" s="98" t="n">
        <x:f>IFERROR(VLOOKUP(D458,'Assumptions'!$A$19:$C$23,2,FALSE),0)</x:f>
        <x:v>0</x:v>
      </x:c>
      <x:c r="I458" s="93" t="n">
        <x:f>IF(D458="",0,H458*'Assumptions'!$B$10)</x:f>
        <x:v>0</x:v>
      </x:c>
      <x:c r="J458" s="337" t="n">
        <x:f>IF(D458="",0,G458-I458)</x:f>
        <x:v>0</x:v>
      </x:c>
      <x:c r="K458" s="331" t="n">
        <x:f>IF(G458=0,0,J458/G458)</x:f>
        <x:v>0</x:v>
      </x:c>
      <x:c r="L458" s="343" t="n">
        <x:f>IF(D458="",0,J458-I458*'Assumptions'!$B$11)</x:f>
        <x:v>0</x:v>
      </x:c>
      <x:c r="M458" s="80"/>
      <x:c r="N458" s="81"/>
    </x:row>
    <x:row r="459">
      <x:c r="A459" s="325"/>
      <x:c r="B459" s="328"/>
      <x:c r="C459" s="75"/>
      <x:c r="D459" s="81"/>
      <x:c r="E459" s="93" t="n">
        <x:f>IFERROR(VLOOKUP(D459,'Assumptions'!$A$19:$C$23,3,FALSE),0)</x:f>
        <x:v>0</x:v>
      </x:c>
      <x:c r="F459" s="94"/>
      <x:c r="G459" s="93" t="n">
        <x:f>IF(D459="",0,E459+F459)</x:f>
        <x:v>0</x:v>
      </x:c>
      <x:c r="H459" s="98" t="n">
        <x:f>IFERROR(VLOOKUP(D459,'Assumptions'!$A$19:$C$23,2,FALSE),0)</x:f>
        <x:v>0</x:v>
      </x:c>
      <x:c r="I459" s="93" t="n">
        <x:f>IF(D459="",0,H459*'Assumptions'!$B$10)</x:f>
        <x:v>0</x:v>
      </x:c>
      <x:c r="J459" s="337" t="n">
        <x:f>IF(D459="",0,G459-I459)</x:f>
        <x:v>0</x:v>
      </x:c>
      <x:c r="K459" s="331" t="n">
        <x:f>IF(G459=0,0,J459/G459)</x:f>
        <x:v>0</x:v>
      </x:c>
      <x:c r="L459" s="343" t="n">
        <x:f>IF(D459="",0,J459-I459*'Assumptions'!$B$11)</x:f>
        <x:v>0</x:v>
      </x:c>
      <x:c r="M459" s="80"/>
      <x:c r="N459" s="81"/>
    </x:row>
    <x:row r="460">
      <x:c r="A460" s="325"/>
      <x:c r="B460" s="328"/>
      <x:c r="C460" s="75"/>
      <x:c r="D460" s="81"/>
      <x:c r="E460" s="93" t="n">
        <x:f>IFERROR(VLOOKUP(D460,'Assumptions'!$A$19:$C$23,3,FALSE),0)</x:f>
        <x:v>0</x:v>
      </x:c>
      <x:c r="F460" s="94"/>
      <x:c r="G460" s="93" t="n">
        <x:f>IF(D460="",0,E460+F460)</x:f>
        <x:v>0</x:v>
      </x:c>
      <x:c r="H460" s="98" t="n">
        <x:f>IFERROR(VLOOKUP(D460,'Assumptions'!$A$19:$C$23,2,FALSE),0)</x:f>
        <x:v>0</x:v>
      </x:c>
      <x:c r="I460" s="93" t="n">
        <x:f>IF(D460="",0,H460*'Assumptions'!$B$10)</x:f>
        <x:v>0</x:v>
      </x:c>
      <x:c r="J460" s="337" t="n">
        <x:f>IF(D460="",0,G460-I460)</x:f>
        <x:v>0</x:v>
      </x:c>
      <x:c r="K460" s="331" t="n">
        <x:f>IF(G460=0,0,J460/G460)</x:f>
        <x:v>0</x:v>
      </x:c>
      <x:c r="L460" s="343" t="n">
        <x:f>IF(D460="",0,J460-I460*'Assumptions'!$B$11)</x:f>
        <x:v>0</x:v>
      </x:c>
      <x:c r="M460" s="80"/>
      <x:c r="N460" s="81"/>
    </x:row>
    <x:row r="461">
      <x:c r="A461" s="325"/>
      <x:c r="B461" s="328"/>
      <x:c r="C461" s="75"/>
      <x:c r="D461" s="81"/>
      <x:c r="E461" s="93" t="n">
        <x:f>IFERROR(VLOOKUP(D461,'Assumptions'!$A$19:$C$23,3,FALSE),0)</x:f>
        <x:v>0</x:v>
      </x:c>
      <x:c r="F461" s="94"/>
      <x:c r="G461" s="93" t="n">
        <x:f>IF(D461="",0,E461+F461)</x:f>
        <x:v>0</x:v>
      </x:c>
      <x:c r="H461" s="98" t="n">
        <x:f>IFERROR(VLOOKUP(D461,'Assumptions'!$A$19:$C$23,2,FALSE),0)</x:f>
        <x:v>0</x:v>
      </x:c>
      <x:c r="I461" s="93" t="n">
        <x:f>IF(D461="",0,H461*'Assumptions'!$B$10)</x:f>
        <x:v>0</x:v>
      </x:c>
      <x:c r="J461" s="337" t="n">
        <x:f>IF(D461="",0,G461-I461)</x:f>
        <x:v>0</x:v>
      </x:c>
      <x:c r="K461" s="331" t="n">
        <x:f>IF(G461=0,0,J461/G461)</x:f>
        <x:v>0</x:v>
      </x:c>
      <x:c r="L461" s="343" t="n">
        <x:f>IF(D461="",0,J461-I461*'Assumptions'!$B$11)</x:f>
        <x:v>0</x:v>
      </x:c>
      <x:c r="M461" s="80"/>
      <x:c r="N461" s="81"/>
    </x:row>
    <x:row r="462">
      <x:c r="A462" s="325"/>
      <x:c r="B462" s="328"/>
      <x:c r="C462" s="75"/>
      <x:c r="D462" s="81"/>
      <x:c r="E462" s="93" t="n">
        <x:f>IFERROR(VLOOKUP(D462,'Assumptions'!$A$19:$C$23,3,FALSE),0)</x:f>
        <x:v>0</x:v>
      </x:c>
      <x:c r="F462" s="94"/>
      <x:c r="G462" s="93" t="n">
        <x:f>IF(D462="",0,E462+F462)</x:f>
        <x:v>0</x:v>
      </x:c>
      <x:c r="H462" s="98" t="n">
        <x:f>IFERROR(VLOOKUP(D462,'Assumptions'!$A$19:$C$23,2,FALSE),0)</x:f>
        <x:v>0</x:v>
      </x:c>
      <x:c r="I462" s="93" t="n">
        <x:f>IF(D462="",0,H462*'Assumptions'!$B$10)</x:f>
        <x:v>0</x:v>
      </x:c>
      <x:c r="J462" s="337" t="n">
        <x:f>IF(D462="",0,G462-I462)</x:f>
        <x:v>0</x:v>
      </x:c>
      <x:c r="K462" s="331" t="n">
        <x:f>IF(G462=0,0,J462/G462)</x:f>
        <x:v>0</x:v>
      </x:c>
      <x:c r="L462" s="343" t="n">
        <x:f>IF(D462="",0,J462-I462*'Assumptions'!$B$11)</x:f>
        <x:v>0</x:v>
      </x:c>
      <x:c r="M462" s="80"/>
      <x:c r="N462" s="81"/>
    </x:row>
    <x:row r="463">
      <x:c r="A463" s="325"/>
      <x:c r="B463" s="328"/>
      <x:c r="C463" s="75"/>
      <x:c r="D463" s="81"/>
      <x:c r="E463" s="93" t="n">
        <x:f>IFERROR(VLOOKUP(D463,'Assumptions'!$A$19:$C$23,3,FALSE),0)</x:f>
        <x:v>0</x:v>
      </x:c>
      <x:c r="F463" s="94"/>
      <x:c r="G463" s="93" t="n">
        <x:f>IF(D463="",0,E463+F463)</x:f>
        <x:v>0</x:v>
      </x:c>
      <x:c r="H463" s="98" t="n">
        <x:f>IFERROR(VLOOKUP(D463,'Assumptions'!$A$19:$C$23,2,FALSE),0)</x:f>
        <x:v>0</x:v>
      </x:c>
      <x:c r="I463" s="93" t="n">
        <x:f>IF(D463="",0,H463*'Assumptions'!$B$10)</x:f>
        <x:v>0</x:v>
      </x:c>
      <x:c r="J463" s="337" t="n">
        <x:f>IF(D463="",0,G463-I463)</x:f>
        <x:v>0</x:v>
      </x:c>
      <x:c r="K463" s="331" t="n">
        <x:f>IF(G463=0,0,J463/G463)</x:f>
        <x:v>0</x:v>
      </x:c>
      <x:c r="L463" s="343" t="n">
        <x:f>IF(D463="",0,J463-I463*'Assumptions'!$B$11)</x:f>
        <x:v>0</x:v>
      </x:c>
      <x:c r="M463" s="80"/>
      <x:c r="N463" s="81"/>
    </x:row>
    <x:row r="464">
      <x:c r="A464" s="325"/>
      <x:c r="B464" s="328"/>
      <x:c r="C464" s="75"/>
      <x:c r="D464" s="81"/>
      <x:c r="E464" s="93" t="n">
        <x:f>IFERROR(VLOOKUP(D464,'Assumptions'!$A$19:$C$23,3,FALSE),0)</x:f>
        <x:v>0</x:v>
      </x:c>
      <x:c r="F464" s="94"/>
      <x:c r="G464" s="93" t="n">
        <x:f>IF(D464="",0,E464+F464)</x:f>
        <x:v>0</x:v>
      </x:c>
      <x:c r="H464" s="98" t="n">
        <x:f>IFERROR(VLOOKUP(D464,'Assumptions'!$A$19:$C$23,2,FALSE),0)</x:f>
        <x:v>0</x:v>
      </x:c>
      <x:c r="I464" s="93" t="n">
        <x:f>IF(D464="",0,H464*'Assumptions'!$B$10)</x:f>
        <x:v>0</x:v>
      </x:c>
      <x:c r="J464" s="337" t="n">
        <x:f>IF(D464="",0,G464-I464)</x:f>
        <x:v>0</x:v>
      </x:c>
      <x:c r="K464" s="331" t="n">
        <x:f>IF(G464=0,0,J464/G464)</x:f>
        <x:v>0</x:v>
      </x:c>
      <x:c r="L464" s="343" t="n">
        <x:f>IF(D464="",0,J464-I464*'Assumptions'!$B$11)</x:f>
        <x:v>0</x:v>
      </x:c>
      <x:c r="M464" s="80"/>
      <x:c r="N464" s="81"/>
    </x:row>
    <x:row r="465">
      <x:c r="A465" s="325"/>
      <x:c r="B465" s="328"/>
      <x:c r="C465" s="75"/>
      <x:c r="D465" s="81"/>
      <x:c r="E465" s="93" t="n">
        <x:f>IFERROR(VLOOKUP(D465,'Assumptions'!$A$19:$C$23,3,FALSE),0)</x:f>
        <x:v>0</x:v>
      </x:c>
      <x:c r="F465" s="94"/>
      <x:c r="G465" s="93" t="n">
        <x:f>IF(D465="",0,E465+F465)</x:f>
        <x:v>0</x:v>
      </x:c>
      <x:c r="H465" s="98" t="n">
        <x:f>IFERROR(VLOOKUP(D465,'Assumptions'!$A$19:$C$23,2,FALSE),0)</x:f>
        <x:v>0</x:v>
      </x:c>
      <x:c r="I465" s="93" t="n">
        <x:f>IF(D465="",0,H465*'Assumptions'!$B$10)</x:f>
        <x:v>0</x:v>
      </x:c>
      <x:c r="J465" s="337" t="n">
        <x:f>IF(D465="",0,G465-I465)</x:f>
        <x:v>0</x:v>
      </x:c>
      <x:c r="K465" s="331" t="n">
        <x:f>IF(G465=0,0,J465/G465)</x:f>
        <x:v>0</x:v>
      </x:c>
      <x:c r="L465" s="343" t="n">
        <x:f>IF(D465="",0,J465-I465*'Assumptions'!$B$11)</x:f>
        <x:v>0</x:v>
      </x:c>
      <x:c r="M465" s="80"/>
      <x:c r="N465" s="81"/>
    </x:row>
    <x:row r="466">
      <x:c r="A466" s="325"/>
      <x:c r="B466" s="328"/>
      <x:c r="C466" s="75"/>
      <x:c r="D466" s="81"/>
      <x:c r="E466" s="93" t="n">
        <x:f>IFERROR(VLOOKUP(D466,'Assumptions'!$A$19:$C$23,3,FALSE),0)</x:f>
        <x:v>0</x:v>
      </x:c>
      <x:c r="F466" s="94"/>
      <x:c r="G466" s="93" t="n">
        <x:f>IF(D466="",0,E466+F466)</x:f>
        <x:v>0</x:v>
      </x:c>
      <x:c r="H466" s="98" t="n">
        <x:f>IFERROR(VLOOKUP(D466,'Assumptions'!$A$19:$C$23,2,FALSE),0)</x:f>
        <x:v>0</x:v>
      </x:c>
      <x:c r="I466" s="93" t="n">
        <x:f>IF(D466="",0,H466*'Assumptions'!$B$10)</x:f>
        <x:v>0</x:v>
      </x:c>
      <x:c r="J466" s="337" t="n">
        <x:f>IF(D466="",0,G466-I466)</x:f>
        <x:v>0</x:v>
      </x:c>
      <x:c r="K466" s="331" t="n">
        <x:f>IF(G466=0,0,J466/G466)</x:f>
        <x:v>0</x:v>
      </x:c>
      <x:c r="L466" s="343" t="n">
        <x:f>IF(D466="",0,J466-I466*'Assumptions'!$B$11)</x:f>
        <x:v>0</x:v>
      </x:c>
      <x:c r="M466" s="80"/>
      <x:c r="N466" s="81"/>
    </x:row>
    <x:row r="467">
      <x:c r="A467" s="325"/>
      <x:c r="B467" s="328"/>
      <x:c r="C467" s="75"/>
      <x:c r="D467" s="81"/>
      <x:c r="E467" s="93" t="n">
        <x:f>IFERROR(VLOOKUP(D467,'Assumptions'!$A$19:$C$23,3,FALSE),0)</x:f>
        <x:v>0</x:v>
      </x:c>
      <x:c r="F467" s="94"/>
      <x:c r="G467" s="93" t="n">
        <x:f>IF(D467="",0,E467+F467)</x:f>
        <x:v>0</x:v>
      </x:c>
      <x:c r="H467" s="98" t="n">
        <x:f>IFERROR(VLOOKUP(D467,'Assumptions'!$A$19:$C$23,2,FALSE),0)</x:f>
        <x:v>0</x:v>
      </x:c>
      <x:c r="I467" s="93" t="n">
        <x:f>IF(D467="",0,H467*'Assumptions'!$B$10)</x:f>
        <x:v>0</x:v>
      </x:c>
      <x:c r="J467" s="337" t="n">
        <x:f>IF(D467="",0,G467-I467)</x:f>
        <x:v>0</x:v>
      </x:c>
      <x:c r="K467" s="331" t="n">
        <x:f>IF(G467=0,0,J467/G467)</x:f>
        <x:v>0</x:v>
      </x:c>
      <x:c r="L467" s="343" t="n">
        <x:f>IF(D467="",0,J467-I467*'Assumptions'!$B$11)</x:f>
        <x:v>0</x:v>
      </x:c>
      <x:c r="M467" s="80"/>
      <x:c r="N467" s="81"/>
    </x:row>
    <x:row r="468">
      <x:c r="A468" s="325"/>
      <x:c r="B468" s="328"/>
      <x:c r="C468" s="75"/>
      <x:c r="D468" s="81"/>
      <x:c r="E468" s="93" t="n">
        <x:f>IFERROR(VLOOKUP(D468,'Assumptions'!$A$19:$C$23,3,FALSE),0)</x:f>
        <x:v>0</x:v>
      </x:c>
      <x:c r="F468" s="94"/>
      <x:c r="G468" s="93" t="n">
        <x:f>IF(D468="",0,E468+F468)</x:f>
        <x:v>0</x:v>
      </x:c>
      <x:c r="H468" s="98" t="n">
        <x:f>IFERROR(VLOOKUP(D468,'Assumptions'!$A$19:$C$23,2,FALSE),0)</x:f>
        <x:v>0</x:v>
      </x:c>
      <x:c r="I468" s="93" t="n">
        <x:f>IF(D468="",0,H468*'Assumptions'!$B$10)</x:f>
        <x:v>0</x:v>
      </x:c>
      <x:c r="J468" s="337" t="n">
        <x:f>IF(D468="",0,G468-I468)</x:f>
        <x:v>0</x:v>
      </x:c>
      <x:c r="K468" s="331" t="n">
        <x:f>IF(G468=0,0,J468/G468)</x:f>
        <x:v>0</x:v>
      </x:c>
      <x:c r="L468" s="343" t="n">
        <x:f>IF(D468="",0,J468-I468*'Assumptions'!$B$11)</x:f>
        <x:v>0</x:v>
      </x:c>
      <x:c r="M468" s="80"/>
      <x:c r="N468" s="81"/>
    </x:row>
    <x:row r="469">
      <x:c r="A469" s="325"/>
      <x:c r="B469" s="328"/>
      <x:c r="C469" s="75"/>
      <x:c r="D469" s="81"/>
      <x:c r="E469" s="93" t="n">
        <x:f>IFERROR(VLOOKUP(D469,'Assumptions'!$A$19:$C$23,3,FALSE),0)</x:f>
        <x:v>0</x:v>
      </x:c>
      <x:c r="F469" s="94"/>
      <x:c r="G469" s="93" t="n">
        <x:f>IF(D469="",0,E469+F469)</x:f>
        <x:v>0</x:v>
      </x:c>
      <x:c r="H469" s="98" t="n">
        <x:f>IFERROR(VLOOKUP(D469,'Assumptions'!$A$19:$C$23,2,FALSE),0)</x:f>
        <x:v>0</x:v>
      </x:c>
      <x:c r="I469" s="93" t="n">
        <x:f>IF(D469="",0,H469*'Assumptions'!$B$10)</x:f>
        <x:v>0</x:v>
      </x:c>
      <x:c r="J469" s="337" t="n">
        <x:f>IF(D469="",0,G469-I469)</x:f>
        <x:v>0</x:v>
      </x:c>
      <x:c r="K469" s="331" t="n">
        <x:f>IF(G469=0,0,J469/G469)</x:f>
        <x:v>0</x:v>
      </x:c>
      <x:c r="L469" s="343" t="n">
        <x:f>IF(D469="",0,J469-I469*'Assumptions'!$B$11)</x:f>
        <x:v>0</x:v>
      </x:c>
      <x:c r="M469" s="80"/>
      <x:c r="N469" s="81"/>
    </x:row>
    <x:row r="470">
      <x:c r="A470" s="325"/>
      <x:c r="B470" s="328"/>
      <x:c r="C470" s="75"/>
      <x:c r="D470" s="81"/>
      <x:c r="E470" s="93" t="n">
        <x:f>IFERROR(VLOOKUP(D470,'Assumptions'!$A$19:$C$23,3,FALSE),0)</x:f>
        <x:v>0</x:v>
      </x:c>
      <x:c r="F470" s="94"/>
      <x:c r="G470" s="93" t="n">
        <x:f>IF(D470="",0,E470+F470)</x:f>
        <x:v>0</x:v>
      </x:c>
      <x:c r="H470" s="98" t="n">
        <x:f>IFERROR(VLOOKUP(D470,'Assumptions'!$A$19:$C$23,2,FALSE),0)</x:f>
        <x:v>0</x:v>
      </x:c>
      <x:c r="I470" s="93" t="n">
        <x:f>IF(D470="",0,H470*'Assumptions'!$B$10)</x:f>
        <x:v>0</x:v>
      </x:c>
      <x:c r="J470" s="337" t="n">
        <x:f>IF(D470="",0,G470-I470)</x:f>
        <x:v>0</x:v>
      </x:c>
      <x:c r="K470" s="331" t="n">
        <x:f>IF(G470=0,0,J470/G470)</x:f>
        <x:v>0</x:v>
      </x:c>
      <x:c r="L470" s="343" t="n">
        <x:f>IF(D470="",0,J470-I470*'Assumptions'!$B$11)</x:f>
        <x:v>0</x:v>
      </x:c>
      <x:c r="M470" s="80"/>
      <x:c r="N470" s="81"/>
    </x:row>
    <x:row r="471">
      <x:c r="A471" s="325"/>
      <x:c r="B471" s="328"/>
      <x:c r="C471" s="75"/>
      <x:c r="D471" s="81"/>
      <x:c r="E471" s="93" t="n">
        <x:f>IFERROR(VLOOKUP(D471,'Assumptions'!$A$19:$C$23,3,FALSE),0)</x:f>
        <x:v>0</x:v>
      </x:c>
      <x:c r="F471" s="94"/>
      <x:c r="G471" s="93" t="n">
        <x:f>IF(D471="",0,E471+F471)</x:f>
        <x:v>0</x:v>
      </x:c>
      <x:c r="H471" s="98" t="n">
        <x:f>IFERROR(VLOOKUP(D471,'Assumptions'!$A$19:$C$23,2,FALSE),0)</x:f>
        <x:v>0</x:v>
      </x:c>
      <x:c r="I471" s="93" t="n">
        <x:f>IF(D471="",0,H471*'Assumptions'!$B$10)</x:f>
        <x:v>0</x:v>
      </x:c>
      <x:c r="J471" s="337" t="n">
        <x:f>IF(D471="",0,G471-I471)</x:f>
        <x:v>0</x:v>
      </x:c>
      <x:c r="K471" s="331" t="n">
        <x:f>IF(G471=0,0,J471/G471)</x:f>
        <x:v>0</x:v>
      </x:c>
      <x:c r="L471" s="343" t="n">
        <x:f>IF(D471="",0,J471-I471*'Assumptions'!$B$11)</x:f>
        <x:v>0</x:v>
      </x:c>
      <x:c r="M471" s="80"/>
      <x:c r="N471" s="81"/>
    </x:row>
    <x:row r="472">
      <x:c r="A472" s="325"/>
      <x:c r="B472" s="328"/>
      <x:c r="C472" s="75"/>
      <x:c r="D472" s="81"/>
      <x:c r="E472" s="93" t="n">
        <x:f>IFERROR(VLOOKUP(D472,'Assumptions'!$A$19:$C$23,3,FALSE),0)</x:f>
        <x:v>0</x:v>
      </x:c>
      <x:c r="F472" s="94"/>
      <x:c r="G472" s="93" t="n">
        <x:f>IF(D472="",0,E472+F472)</x:f>
        <x:v>0</x:v>
      </x:c>
      <x:c r="H472" s="98" t="n">
        <x:f>IFERROR(VLOOKUP(D472,'Assumptions'!$A$19:$C$23,2,FALSE),0)</x:f>
        <x:v>0</x:v>
      </x:c>
      <x:c r="I472" s="93" t="n">
        <x:f>IF(D472="",0,H472*'Assumptions'!$B$10)</x:f>
        <x:v>0</x:v>
      </x:c>
      <x:c r="J472" s="337" t="n">
        <x:f>IF(D472="",0,G472-I472)</x:f>
        <x:v>0</x:v>
      </x:c>
      <x:c r="K472" s="331" t="n">
        <x:f>IF(G472=0,0,J472/G472)</x:f>
        <x:v>0</x:v>
      </x:c>
      <x:c r="L472" s="343" t="n">
        <x:f>IF(D472="",0,J472-I472*'Assumptions'!$B$11)</x:f>
        <x:v>0</x:v>
      </x:c>
      <x:c r="M472" s="80"/>
      <x:c r="N472" s="81"/>
    </x:row>
    <x:row r="473">
      <x:c r="A473" s="325"/>
      <x:c r="B473" s="328"/>
      <x:c r="C473" s="75"/>
      <x:c r="D473" s="81"/>
      <x:c r="E473" s="93" t="n">
        <x:f>IFERROR(VLOOKUP(D473,'Assumptions'!$A$19:$C$23,3,FALSE),0)</x:f>
        <x:v>0</x:v>
      </x:c>
      <x:c r="F473" s="94"/>
      <x:c r="G473" s="93" t="n">
        <x:f>IF(D473="",0,E473+F473)</x:f>
        <x:v>0</x:v>
      </x:c>
      <x:c r="H473" s="98" t="n">
        <x:f>IFERROR(VLOOKUP(D473,'Assumptions'!$A$19:$C$23,2,FALSE),0)</x:f>
        <x:v>0</x:v>
      </x:c>
      <x:c r="I473" s="93" t="n">
        <x:f>IF(D473="",0,H473*'Assumptions'!$B$10)</x:f>
        <x:v>0</x:v>
      </x:c>
      <x:c r="J473" s="337" t="n">
        <x:f>IF(D473="",0,G473-I473)</x:f>
        <x:v>0</x:v>
      </x:c>
      <x:c r="K473" s="331" t="n">
        <x:f>IF(G473=0,0,J473/G473)</x:f>
        <x:v>0</x:v>
      </x:c>
      <x:c r="L473" s="343" t="n">
        <x:f>IF(D473="",0,J473-I473*'Assumptions'!$B$11)</x:f>
        <x:v>0</x:v>
      </x:c>
      <x:c r="M473" s="80"/>
      <x:c r="N473" s="81"/>
    </x:row>
    <x:row r="474">
      <x:c r="A474" s="325"/>
      <x:c r="B474" s="328"/>
      <x:c r="C474" s="75"/>
      <x:c r="D474" s="81"/>
      <x:c r="E474" s="93" t="n">
        <x:f>IFERROR(VLOOKUP(D474,'Assumptions'!$A$19:$C$23,3,FALSE),0)</x:f>
        <x:v>0</x:v>
      </x:c>
      <x:c r="F474" s="94"/>
      <x:c r="G474" s="93" t="n">
        <x:f>IF(D474="",0,E474+F474)</x:f>
        <x:v>0</x:v>
      </x:c>
      <x:c r="H474" s="98" t="n">
        <x:f>IFERROR(VLOOKUP(D474,'Assumptions'!$A$19:$C$23,2,FALSE),0)</x:f>
        <x:v>0</x:v>
      </x:c>
      <x:c r="I474" s="93" t="n">
        <x:f>IF(D474="",0,H474*'Assumptions'!$B$10)</x:f>
        <x:v>0</x:v>
      </x:c>
      <x:c r="J474" s="337" t="n">
        <x:f>IF(D474="",0,G474-I474)</x:f>
        <x:v>0</x:v>
      </x:c>
      <x:c r="K474" s="331" t="n">
        <x:f>IF(G474=0,0,J474/G474)</x:f>
        <x:v>0</x:v>
      </x:c>
      <x:c r="L474" s="343" t="n">
        <x:f>IF(D474="",0,J474-I474*'Assumptions'!$B$11)</x:f>
        <x:v>0</x:v>
      </x:c>
      <x:c r="M474" s="80"/>
      <x:c r="N474" s="81"/>
    </x:row>
    <x:row r="475">
      <x:c r="A475" s="325"/>
      <x:c r="B475" s="328"/>
      <x:c r="C475" s="75"/>
      <x:c r="D475" s="81"/>
      <x:c r="E475" s="93" t="n">
        <x:f>IFERROR(VLOOKUP(D475,'Assumptions'!$A$19:$C$23,3,FALSE),0)</x:f>
        <x:v>0</x:v>
      </x:c>
      <x:c r="F475" s="94"/>
      <x:c r="G475" s="93" t="n">
        <x:f>IF(D475="",0,E475+F475)</x:f>
        <x:v>0</x:v>
      </x:c>
      <x:c r="H475" s="98" t="n">
        <x:f>IFERROR(VLOOKUP(D475,'Assumptions'!$A$19:$C$23,2,FALSE),0)</x:f>
        <x:v>0</x:v>
      </x:c>
      <x:c r="I475" s="93" t="n">
        <x:f>IF(D475="",0,H475*'Assumptions'!$B$10)</x:f>
        <x:v>0</x:v>
      </x:c>
      <x:c r="J475" s="337" t="n">
        <x:f>IF(D475="",0,G475-I475)</x:f>
        <x:v>0</x:v>
      </x:c>
      <x:c r="K475" s="331" t="n">
        <x:f>IF(G475=0,0,J475/G475)</x:f>
        <x:v>0</x:v>
      </x:c>
      <x:c r="L475" s="343" t="n">
        <x:f>IF(D475="",0,J475-I475*'Assumptions'!$B$11)</x:f>
        <x:v>0</x:v>
      </x:c>
      <x:c r="M475" s="80"/>
      <x:c r="N475" s="81"/>
    </x:row>
    <x:row r="476">
      <x:c r="A476" s="325"/>
      <x:c r="B476" s="328"/>
      <x:c r="C476" s="75"/>
      <x:c r="D476" s="81"/>
      <x:c r="E476" s="93" t="n">
        <x:f>IFERROR(VLOOKUP(D476,'Assumptions'!$A$19:$C$23,3,FALSE),0)</x:f>
        <x:v>0</x:v>
      </x:c>
      <x:c r="F476" s="94"/>
      <x:c r="G476" s="93" t="n">
        <x:f>IF(D476="",0,E476+F476)</x:f>
        <x:v>0</x:v>
      </x:c>
      <x:c r="H476" s="98" t="n">
        <x:f>IFERROR(VLOOKUP(D476,'Assumptions'!$A$19:$C$23,2,FALSE),0)</x:f>
        <x:v>0</x:v>
      </x:c>
      <x:c r="I476" s="93" t="n">
        <x:f>IF(D476="",0,H476*'Assumptions'!$B$10)</x:f>
        <x:v>0</x:v>
      </x:c>
      <x:c r="J476" s="337" t="n">
        <x:f>IF(D476="",0,G476-I476)</x:f>
        <x:v>0</x:v>
      </x:c>
      <x:c r="K476" s="331" t="n">
        <x:f>IF(G476=0,0,J476/G476)</x:f>
        <x:v>0</x:v>
      </x:c>
      <x:c r="L476" s="343" t="n">
        <x:f>IF(D476="",0,J476-I476*'Assumptions'!$B$11)</x:f>
        <x:v>0</x:v>
      </x:c>
      <x:c r="M476" s="80"/>
      <x:c r="N476" s="81"/>
    </x:row>
    <x:row r="477">
      <x:c r="A477" s="325"/>
      <x:c r="B477" s="328"/>
      <x:c r="C477" s="75"/>
      <x:c r="D477" s="81"/>
      <x:c r="E477" s="93" t="n">
        <x:f>IFERROR(VLOOKUP(D477,'Assumptions'!$A$19:$C$23,3,FALSE),0)</x:f>
        <x:v>0</x:v>
      </x:c>
      <x:c r="F477" s="94"/>
      <x:c r="G477" s="93" t="n">
        <x:f>IF(D477="",0,E477+F477)</x:f>
        <x:v>0</x:v>
      </x:c>
      <x:c r="H477" s="98" t="n">
        <x:f>IFERROR(VLOOKUP(D477,'Assumptions'!$A$19:$C$23,2,FALSE),0)</x:f>
        <x:v>0</x:v>
      </x:c>
      <x:c r="I477" s="93" t="n">
        <x:f>IF(D477="",0,H477*'Assumptions'!$B$10)</x:f>
        <x:v>0</x:v>
      </x:c>
      <x:c r="J477" s="337" t="n">
        <x:f>IF(D477="",0,G477-I477)</x:f>
        <x:v>0</x:v>
      </x:c>
      <x:c r="K477" s="331" t="n">
        <x:f>IF(G477=0,0,J477/G477)</x:f>
        <x:v>0</x:v>
      </x:c>
      <x:c r="L477" s="343" t="n">
        <x:f>IF(D477="",0,J477-I477*'Assumptions'!$B$11)</x:f>
        <x:v>0</x:v>
      </x:c>
      <x:c r="M477" s="80"/>
      <x:c r="N477" s="81"/>
    </x:row>
    <x:row r="478">
      <x:c r="A478" s="325"/>
      <x:c r="B478" s="328"/>
      <x:c r="C478" s="75"/>
      <x:c r="D478" s="81"/>
      <x:c r="E478" s="93" t="n">
        <x:f>IFERROR(VLOOKUP(D478,'Assumptions'!$A$19:$C$23,3,FALSE),0)</x:f>
        <x:v>0</x:v>
      </x:c>
      <x:c r="F478" s="94"/>
      <x:c r="G478" s="93" t="n">
        <x:f>IF(D478="",0,E478+F478)</x:f>
        <x:v>0</x:v>
      </x:c>
      <x:c r="H478" s="98" t="n">
        <x:f>IFERROR(VLOOKUP(D478,'Assumptions'!$A$19:$C$23,2,FALSE),0)</x:f>
        <x:v>0</x:v>
      </x:c>
      <x:c r="I478" s="93" t="n">
        <x:f>IF(D478="",0,H478*'Assumptions'!$B$10)</x:f>
        <x:v>0</x:v>
      </x:c>
      <x:c r="J478" s="337" t="n">
        <x:f>IF(D478="",0,G478-I478)</x:f>
        <x:v>0</x:v>
      </x:c>
      <x:c r="K478" s="331" t="n">
        <x:f>IF(G478=0,0,J478/G478)</x:f>
        <x:v>0</x:v>
      </x:c>
      <x:c r="L478" s="343" t="n">
        <x:f>IF(D478="",0,J478-I478*'Assumptions'!$B$11)</x:f>
        <x:v>0</x:v>
      </x:c>
      <x:c r="M478" s="80"/>
      <x:c r="N478" s="81"/>
    </x:row>
    <x:row r="479">
      <x:c r="A479" s="325"/>
      <x:c r="B479" s="328"/>
      <x:c r="C479" s="75"/>
      <x:c r="D479" s="81"/>
      <x:c r="E479" s="93" t="n">
        <x:f>IFERROR(VLOOKUP(D479,'Assumptions'!$A$19:$C$23,3,FALSE),0)</x:f>
        <x:v>0</x:v>
      </x:c>
      <x:c r="F479" s="94"/>
      <x:c r="G479" s="93" t="n">
        <x:f>IF(D479="",0,E479+F479)</x:f>
        <x:v>0</x:v>
      </x:c>
      <x:c r="H479" s="98" t="n">
        <x:f>IFERROR(VLOOKUP(D479,'Assumptions'!$A$19:$C$23,2,FALSE),0)</x:f>
        <x:v>0</x:v>
      </x:c>
      <x:c r="I479" s="93" t="n">
        <x:f>IF(D479="",0,H479*'Assumptions'!$B$10)</x:f>
        <x:v>0</x:v>
      </x:c>
      <x:c r="J479" s="337" t="n">
        <x:f>IF(D479="",0,G479-I479)</x:f>
        <x:v>0</x:v>
      </x:c>
      <x:c r="K479" s="331" t="n">
        <x:f>IF(G479=0,0,J479/G479)</x:f>
        <x:v>0</x:v>
      </x:c>
      <x:c r="L479" s="343" t="n">
        <x:f>IF(D479="",0,J479-I479*'Assumptions'!$B$11)</x:f>
        <x:v>0</x:v>
      </x:c>
      <x:c r="M479" s="80"/>
      <x:c r="N479" s="81"/>
    </x:row>
    <x:row r="480">
      <x:c r="A480" s="325"/>
      <x:c r="B480" s="328"/>
      <x:c r="C480" s="75"/>
      <x:c r="D480" s="81"/>
      <x:c r="E480" s="93" t="n">
        <x:f>IFERROR(VLOOKUP(D480,'Assumptions'!$A$19:$C$23,3,FALSE),0)</x:f>
        <x:v>0</x:v>
      </x:c>
      <x:c r="F480" s="94"/>
      <x:c r="G480" s="93" t="n">
        <x:f>IF(D480="",0,E480+F480)</x:f>
        <x:v>0</x:v>
      </x:c>
      <x:c r="H480" s="98" t="n">
        <x:f>IFERROR(VLOOKUP(D480,'Assumptions'!$A$19:$C$23,2,FALSE),0)</x:f>
        <x:v>0</x:v>
      </x:c>
      <x:c r="I480" s="93" t="n">
        <x:f>IF(D480="",0,H480*'Assumptions'!$B$10)</x:f>
        <x:v>0</x:v>
      </x:c>
      <x:c r="J480" s="337" t="n">
        <x:f>IF(D480="",0,G480-I480)</x:f>
        <x:v>0</x:v>
      </x:c>
      <x:c r="K480" s="331" t="n">
        <x:f>IF(G480=0,0,J480/G480)</x:f>
        <x:v>0</x:v>
      </x:c>
      <x:c r="L480" s="343" t="n">
        <x:f>IF(D480="",0,J480-I480*'Assumptions'!$B$11)</x:f>
        <x:v>0</x:v>
      </x:c>
      <x:c r="M480" s="80"/>
      <x:c r="N480" s="81"/>
    </x:row>
    <x:row r="481">
      <x:c r="A481" s="325"/>
      <x:c r="B481" s="328"/>
      <x:c r="C481" s="75"/>
      <x:c r="D481" s="81"/>
      <x:c r="E481" s="93" t="n">
        <x:f>IFERROR(VLOOKUP(D481,'Assumptions'!$A$19:$C$23,3,FALSE),0)</x:f>
        <x:v>0</x:v>
      </x:c>
      <x:c r="F481" s="94"/>
      <x:c r="G481" s="93" t="n">
        <x:f>IF(D481="",0,E481+F481)</x:f>
        <x:v>0</x:v>
      </x:c>
      <x:c r="H481" s="98" t="n">
        <x:f>IFERROR(VLOOKUP(D481,'Assumptions'!$A$19:$C$23,2,FALSE),0)</x:f>
        <x:v>0</x:v>
      </x:c>
      <x:c r="I481" s="93" t="n">
        <x:f>IF(D481="",0,H481*'Assumptions'!$B$10)</x:f>
        <x:v>0</x:v>
      </x:c>
      <x:c r="J481" s="337" t="n">
        <x:f>IF(D481="",0,G481-I481)</x:f>
        <x:v>0</x:v>
      </x:c>
      <x:c r="K481" s="331" t="n">
        <x:f>IF(G481=0,0,J481/G481)</x:f>
        <x:v>0</x:v>
      </x:c>
      <x:c r="L481" s="343" t="n">
        <x:f>IF(D481="",0,J481-I481*'Assumptions'!$B$11)</x:f>
        <x:v>0</x:v>
      </x:c>
      <x:c r="M481" s="80"/>
      <x:c r="N481" s="81"/>
    </x:row>
    <x:row r="482">
      <x:c r="A482" s="325"/>
      <x:c r="B482" s="328"/>
      <x:c r="C482" s="75"/>
      <x:c r="D482" s="81"/>
      <x:c r="E482" s="93" t="n">
        <x:f>IFERROR(VLOOKUP(D482,'Assumptions'!$A$19:$C$23,3,FALSE),0)</x:f>
        <x:v>0</x:v>
      </x:c>
      <x:c r="F482" s="94"/>
      <x:c r="G482" s="93" t="n">
        <x:f>IF(D482="",0,E482+F482)</x:f>
        <x:v>0</x:v>
      </x:c>
      <x:c r="H482" s="98" t="n">
        <x:f>IFERROR(VLOOKUP(D482,'Assumptions'!$A$19:$C$23,2,FALSE),0)</x:f>
        <x:v>0</x:v>
      </x:c>
      <x:c r="I482" s="93" t="n">
        <x:f>IF(D482="",0,H482*'Assumptions'!$B$10)</x:f>
        <x:v>0</x:v>
      </x:c>
      <x:c r="J482" s="337" t="n">
        <x:f>IF(D482="",0,G482-I482)</x:f>
        <x:v>0</x:v>
      </x:c>
      <x:c r="K482" s="331" t="n">
        <x:f>IF(G482=0,0,J482/G482)</x:f>
        <x:v>0</x:v>
      </x:c>
      <x:c r="L482" s="343" t="n">
        <x:f>IF(D482="",0,J482-I482*'Assumptions'!$B$11)</x:f>
        <x:v>0</x:v>
      </x:c>
      <x:c r="M482" s="80"/>
      <x:c r="N482" s="81"/>
    </x:row>
    <x:row r="483">
      <x:c r="A483" s="325"/>
      <x:c r="B483" s="328"/>
      <x:c r="C483" s="75"/>
      <x:c r="D483" s="81"/>
      <x:c r="E483" s="93" t="n">
        <x:f>IFERROR(VLOOKUP(D483,'Assumptions'!$A$19:$C$23,3,FALSE),0)</x:f>
        <x:v>0</x:v>
      </x:c>
      <x:c r="F483" s="94"/>
      <x:c r="G483" s="93" t="n">
        <x:f>IF(D483="",0,E483+F483)</x:f>
        <x:v>0</x:v>
      </x:c>
      <x:c r="H483" s="98" t="n">
        <x:f>IFERROR(VLOOKUP(D483,'Assumptions'!$A$19:$C$23,2,FALSE),0)</x:f>
        <x:v>0</x:v>
      </x:c>
      <x:c r="I483" s="93" t="n">
        <x:f>IF(D483="",0,H483*'Assumptions'!$B$10)</x:f>
        <x:v>0</x:v>
      </x:c>
      <x:c r="J483" s="337" t="n">
        <x:f>IF(D483="",0,G483-I483)</x:f>
        <x:v>0</x:v>
      </x:c>
      <x:c r="K483" s="331" t="n">
        <x:f>IF(G483=0,0,J483/G483)</x:f>
        <x:v>0</x:v>
      </x:c>
      <x:c r="L483" s="343" t="n">
        <x:f>IF(D483="",0,J483-I483*'Assumptions'!$B$11)</x:f>
        <x:v>0</x:v>
      </x:c>
      <x:c r="M483" s="80"/>
      <x:c r="N483" s="81"/>
    </x:row>
    <x:row r="484">
      <x:c r="A484" s="325"/>
      <x:c r="B484" s="328"/>
      <x:c r="C484" s="75"/>
      <x:c r="D484" s="81"/>
      <x:c r="E484" s="93" t="n">
        <x:f>IFERROR(VLOOKUP(D484,'Assumptions'!$A$19:$C$23,3,FALSE),0)</x:f>
        <x:v>0</x:v>
      </x:c>
      <x:c r="F484" s="94"/>
      <x:c r="G484" s="93" t="n">
        <x:f>IF(D484="",0,E484+F484)</x:f>
        <x:v>0</x:v>
      </x:c>
      <x:c r="H484" s="98" t="n">
        <x:f>IFERROR(VLOOKUP(D484,'Assumptions'!$A$19:$C$23,2,FALSE),0)</x:f>
        <x:v>0</x:v>
      </x:c>
      <x:c r="I484" s="93" t="n">
        <x:f>IF(D484="",0,H484*'Assumptions'!$B$10)</x:f>
        <x:v>0</x:v>
      </x:c>
      <x:c r="J484" s="337" t="n">
        <x:f>IF(D484="",0,G484-I484)</x:f>
        <x:v>0</x:v>
      </x:c>
      <x:c r="K484" s="331" t="n">
        <x:f>IF(G484=0,0,J484/G484)</x:f>
        <x:v>0</x:v>
      </x:c>
      <x:c r="L484" s="343" t="n">
        <x:f>IF(D484="",0,J484-I484*'Assumptions'!$B$11)</x:f>
        <x:v>0</x:v>
      </x:c>
      <x:c r="M484" s="80"/>
      <x:c r="N484" s="81"/>
    </x:row>
    <x:row r="485">
      <x:c r="A485" s="325"/>
      <x:c r="B485" s="328"/>
      <x:c r="C485" s="75"/>
      <x:c r="D485" s="81"/>
      <x:c r="E485" s="93" t="n">
        <x:f>IFERROR(VLOOKUP(D485,'Assumptions'!$A$19:$C$23,3,FALSE),0)</x:f>
        <x:v>0</x:v>
      </x:c>
      <x:c r="F485" s="94"/>
      <x:c r="G485" s="93" t="n">
        <x:f>IF(D485="",0,E485+F485)</x:f>
        <x:v>0</x:v>
      </x:c>
      <x:c r="H485" s="98" t="n">
        <x:f>IFERROR(VLOOKUP(D485,'Assumptions'!$A$19:$C$23,2,FALSE),0)</x:f>
        <x:v>0</x:v>
      </x:c>
      <x:c r="I485" s="93" t="n">
        <x:f>IF(D485="",0,H485*'Assumptions'!$B$10)</x:f>
        <x:v>0</x:v>
      </x:c>
      <x:c r="J485" s="337" t="n">
        <x:f>IF(D485="",0,G485-I485)</x:f>
        <x:v>0</x:v>
      </x:c>
      <x:c r="K485" s="331" t="n">
        <x:f>IF(G485=0,0,J485/G485)</x:f>
        <x:v>0</x:v>
      </x:c>
      <x:c r="L485" s="343" t="n">
        <x:f>IF(D485="",0,J485-I485*'Assumptions'!$B$11)</x:f>
        <x:v>0</x:v>
      </x:c>
      <x:c r="M485" s="80"/>
      <x:c r="N485" s="81"/>
    </x:row>
    <x:row r="486">
      <x:c r="A486" s="325"/>
      <x:c r="B486" s="328"/>
      <x:c r="C486" s="75"/>
      <x:c r="D486" s="81"/>
      <x:c r="E486" s="93" t="n">
        <x:f>IFERROR(VLOOKUP(D486,'Assumptions'!$A$19:$C$23,3,FALSE),0)</x:f>
        <x:v>0</x:v>
      </x:c>
      <x:c r="F486" s="94"/>
      <x:c r="G486" s="93" t="n">
        <x:f>IF(D486="",0,E486+F486)</x:f>
        <x:v>0</x:v>
      </x:c>
      <x:c r="H486" s="98" t="n">
        <x:f>IFERROR(VLOOKUP(D486,'Assumptions'!$A$19:$C$23,2,FALSE),0)</x:f>
        <x:v>0</x:v>
      </x:c>
      <x:c r="I486" s="93" t="n">
        <x:f>IF(D486="",0,H486*'Assumptions'!$B$10)</x:f>
        <x:v>0</x:v>
      </x:c>
      <x:c r="J486" s="337" t="n">
        <x:f>IF(D486="",0,G486-I486)</x:f>
        <x:v>0</x:v>
      </x:c>
      <x:c r="K486" s="331" t="n">
        <x:f>IF(G486=0,0,J486/G486)</x:f>
        <x:v>0</x:v>
      </x:c>
      <x:c r="L486" s="343" t="n">
        <x:f>IF(D486="",0,J486-I486*'Assumptions'!$B$11)</x:f>
        <x:v>0</x:v>
      </x:c>
      <x:c r="M486" s="80"/>
      <x:c r="N486" s="81"/>
    </x:row>
    <x:row r="487">
      <x:c r="A487" s="325"/>
      <x:c r="B487" s="328"/>
      <x:c r="C487" s="75"/>
      <x:c r="D487" s="81"/>
      <x:c r="E487" s="93" t="n">
        <x:f>IFERROR(VLOOKUP(D487,'Assumptions'!$A$19:$C$23,3,FALSE),0)</x:f>
        <x:v>0</x:v>
      </x:c>
      <x:c r="F487" s="94"/>
      <x:c r="G487" s="93" t="n">
        <x:f>IF(D487="",0,E487+F487)</x:f>
        <x:v>0</x:v>
      </x:c>
      <x:c r="H487" s="98" t="n">
        <x:f>IFERROR(VLOOKUP(D487,'Assumptions'!$A$19:$C$23,2,FALSE),0)</x:f>
        <x:v>0</x:v>
      </x:c>
      <x:c r="I487" s="93" t="n">
        <x:f>IF(D487="",0,H487*'Assumptions'!$B$10)</x:f>
        <x:v>0</x:v>
      </x:c>
      <x:c r="J487" s="337" t="n">
        <x:f>IF(D487="",0,G487-I487)</x:f>
        <x:v>0</x:v>
      </x:c>
      <x:c r="K487" s="331" t="n">
        <x:f>IF(G487=0,0,J487/G487)</x:f>
        <x:v>0</x:v>
      </x:c>
      <x:c r="L487" s="343" t="n">
        <x:f>IF(D487="",0,J487-I487*'Assumptions'!$B$11)</x:f>
        <x:v>0</x:v>
      </x:c>
      <x:c r="M487" s="80"/>
      <x:c r="N487" s="81"/>
    </x:row>
    <x:row r="488">
      <x:c r="A488" s="325"/>
      <x:c r="B488" s="328"/>
      <x:c r="C488" s="75"/>
      <x:c r="D488" s="81"/>
      <x:c r="E488" s="93" t="n">
        <x:f>IFERROR(VLOOKUP(D488,'Assumptions'!$A$19:$C$23,3,FALSE),0)</x:f>
        <x:v>0</x:v>
      </x:c>
      <x:c r="F488" s="94"/>
      <x:c r="G488" s="93" t="n">
        <x:f>IF(D488="",0,E488+F488)</x:f>
        <x:v>0</x:v>
      </x:c>
      <x:c r="H488" s="98" t="n">
        <x:f>IFERROR(VLOOKUP(D488,'Assumptions'!$A$19:$C$23,2,FALSE),0)</x:f>
        <x:v>0</x:v>
      </x:c>
      <x:c r="I488" s="93" t="n">
        <x:f>IF(D488="",0,H488*'Assumptions'!$B$10)</x:f>
        <x:v>0</x:v>
      </x:c>
      <x:c r="J488" s="337" t="n">
        <x:f>IF(D488="",0,G488-I488)</x:f>
        <x:v>0</x:v>
      </x:c>
      <x:c r="K488" s="331" t="n">
        <x:f>IF(G488=0,0,J488/G488)</x:f>
        <x:v>0</x:v>
      </x:c>
      <x:c r="L488" s="343" t="n">
        <x:f>IF(D488="",0,J488-I488*'Assumptions'!$B$11)</x:f>
        <x:v>0</x:v>
      </x:c>
      <x:c r="M488" s="80"/>
      <x:c r="N488" s="81"/>
    </x:row>
    <x:row r="489">
      <x:c r="A489" s="325"/>
      <x:c r="B489" s="328"/>
      <x:c r="C489" s="75"/>
      <x:c r="D489" s="81"/>
      <x:c r="E489" s="93" t="n">
        <x:f>IFERROR(VLOOKUP(D489,'Assumptions'!$A$19:$C$23,3,FALSE),0)</x:f>
        <x:v>0</x:v>
      </x:c>
      <x:c r="F489" s="94"/>
      <x:c r="G489" s="93" t="n">
        <x:f>IF(D489="",0,E489+F489)</x:f>
        <x:v>0</x:v>
      </x:c>
      <x:c r="H489" s="98" t="n">
        <x:f>IFERROR(VLOOKUP(D489,'Assumptions'!$A$19:$C$23,2,FALSE),0)</x:f>
        <x:v>0</x:v>
      </x:c>
      <x:c r="I489" s="93" t="n">
        <x:f>IF(D489="",0,H489*'Assumptions'!$B$10)</x:f>
        <x:v>0</x:v>
      </x:c>
      <x:c r="J489" s="337" t="n">
        <x:f>IF(D489="",0,G489-I489)</x:f>
        <x:v>0</x:v>
      </x:c>
      <x:c r="K489" s="331" t="n">
        <x:f>IF(G489=0,0,J489/G489)</x:f>
        <x:v>0</x:v>
      </x:c>
      <x:c r="L489" s="343" t="n">
        <x:f>IF(D489="",0,J489-I489*'Assumptions'!$B$11)</x:f>
        <x:v>0</x:v>
      </x:c>
      <x:c r="M489" s="80"/>
      <x:c r="N489" s="81"/>
    </x:row>
    <x:row r="490">
      <x:c r="A490" s="325"/>
      <x:c r="B490" s="328"/>
      <x:c r="C490" s="75"/>
      <x:c r="D490" s="81"/>
      <x:c r="E490" s="93" t="n">
        <x:f>IFERROR(VLOOKUP(D490,'Assumptions'!$A$19:$C$23,3,FALSE),0)</x:f>
        <x:v>0</x:v>
      </x:c>
      <x:c r="F490" s="94"/>
      <x:c r="G490" s="93" t="n">
        <x:f>IF(D490="",0,E490+F490)</x:f>
        <x:v>0</x:v>
      </x:c>
      <x:c r="H490" s="98" t="n">
        <x:f>IFERROR(VLOOKUP(D490,'Assumptions'!$A$19:$C$23,2,FALSE),0)</x:f>
        <x:v>0</x:v>
      </x:c>
      <x:c r="I490" s="93" t="n">
        <x:f>IF(D490="",0,H490*'Assumptions'!$B$10)</x:f>
        <x:v>0</x:v>
      </x:c>
      <x:c r="J490" s="337" t="n">
        <x:f>IF(D490="",0,G490-I490)</x:f>
        <x:v>0</x:v>
      </x:c>
      <x:c r="K490" s="331" t="n">
        <x:f>IF(G490=0,0,J490/G490)</x:f>
        <x:v>0</x:v>
      </x:c>
      <x:c r="L490" s="343" t="n">
        <x:f>IF(D490="",0,J490-I490*'Assumptions'!$B$11)</x:f>
        <x:v>0</x:v>
      </x:c>
      <x:c r="M490" s="80"/>
      <x:c r="N490" s="81"/>
    </x:row>
    <x:row r="491">
      <x:c r="A491" s="325"/>
      <x:c r="B491" s="328"/>
      <x:c r="C491" s="75"/>
      <x:c r="D491" s="81"/>
      <x:c r="E491" s="93" t="n">
        <x:f>IFERROR(VLOOKUP(D491,'Assumptions'!$A$19:$C$23,3,FALSE),0)</x:f>
        <x:v>0</x:v>
      </x:c>
      <x:c r="F491" s="94"/>
      <x:c r="G491" s="93" t="n">
        <x:f>IF(D491="",0,E491+F491)</x:f>
        <x:v>0</x:v>
      </x:c>
      <x:c r="H491" s="98" t="n">
        <x:f>IFERROR(VLOOKUP(D491,'Assumptions'!$A$19:$C$23,2,FALSE),0)</x:f>
        <x:v>0</x:v>
      </x:c>
      <x:c r="I491" s="93" t="n">
        <x:f>IF(D491="",0,H491*'Assumptions'!$B$10)</x:f>
        <x:v>0</x:v>
      </x:c>
      <x:c r="J491" s="337" t="n">
        <x:f>IF(D491="",0,G491-I491)</x:f>
        <x:v>0</x:v>
      </x:c>
      <x:c r="K491" s="331" t="n">
        <x:f>IF(G491=0,0,J491/G491)</x:f>
        <x:v>0</x:v>
      </x:c>
      <x:c r="L491" s="343" t="n">
        <x:f>IF(D491="",0,J491-I491*'Assumptions'!$B$11)</x:f>
        <x:v>0</x:v>
      </x:c>
      <x:c r="M491" s="80"/>
      <x:c r="N491" s="81"/>
    </x:row>
    <x:row r="492">
      <x:c r="A492" s="325"/>
      <x:c r="B492" s="328"/>
      <x:c r="C492" s="75"/>
      <x:c r="D492" s="81"/>
      <x:c r="E492" s="93" t="n">
        <x:f>IFERROR(VLOOKUP(D492,'Assumptions'!$A$19:$C$23,3,FALSE),0)</x:f>
        <x:v>0</x:v>
      </x:c>
      <x:c r="F492" s="94"/>
      <x:c r="G492" s="93" t="n">
        <x:f>IF(D492="",0,E492+F492)</x:f>
        <x:v>0</x:v>
      </x:c>
      <x:c r="H492" s="98" t="n">
        <x:f>IFERROR(VLOOKUP(D492,'Assumptions'!$A$19:$C$23,2,FALSE),0)</x:f>
        <x:v>0</x:v>
      </x:c>
      <x:c r="I492" s="93" t="n">
        <x:f>IF(D492="",0,H492*'Assumptions'!$B$10)</x:f>
        <x:v>0</x:v>
      </x:c>
      <x:c r="J492" s="337" t="n">
        <x:f>IF(D492="",0,G492-I492)</x:f>
        <x:v>0</x:v>
      </x:c>
      <x:c r="K492" s="331" t="n">
        <x:f>IF(G492=0,0,J492/G492)</x:f>
        <x:v>0</x:v>
      </x:c>
      <x:c r="L492" s="343" t="n">
        <x:f>IF(D492="",0,J492-I492*'Assumptions'!$B$11)</x:f>
        <x:v>0</x:v>
      </x:c>
      <x:c r="M492" s="80"/>
      <x:c r="N492" s="81"/>
    </x:row>
    <x:row r="493">
      <x:c r="A493" s="325"/>
      <x:c r="B493" s="328"/>
      <x:c r="C493" s="75"/>
      <x:c r="D493" s="81"/>
      <x:c r="E493" s="93" t="n">
        <x:f>IFERROR(VLOOKUP(D493,'Assumptions'!$A$19:$C$23,3,FALSE),0)</x:f>
        <x:v>0</x:v>
      </x:c>
      <x:c r="F493" s="94"/>
      <x:c r="G493" s="93" t="n">
        <x:f>IF(D493="",0,E493+F493)</x:f>
        <x:v>0</x:v>
      </x:c>
      <x:c r="H493" s="98" t="n">
        <x:f>IFERROR(VLOOKUP(D493,'Assumptions'!$A$19:$C$23,2,FALSE),0)</x:f>
        <x:v>0</x:v>
      </x:c>
      <x:c r="I493" s="93" t="n">
        <x:f>IF(D493="",0,H493*'Assumptions'!$B$10)</x:f>
        <x:v>0</x:v>
      </x:c>
      <x:c r="J493" s="337" t="n">
        <x:f>IF(D493="",0,G493-I493)</x:f>
        <x:v>0</x:v>
      </x:c>
      <x:c r="K493" s="331" t="n">
        <x:f>IF(G493=0,0,J493/G493)</x:f>
        <x:v>0</x:v>
      </x:c>
      <x:c r="L493" s="343" t="n">
        <x:f>IF(D493="",0,J493-I493*'Assumptions'!$B$11)</x:f>
        <x:v>0</x:v>
      </x:c>
      <x:c r="M493" s="80"/>
      <x:c r="N493" s="81"/>
    </x:row>
    <x:row r="494">
      <x:c r="A494" s="325"/>
      <x:c r="B494" s="328"/>
      <x:c r="C494" s="75"/>
      <x:c r="D494" s="81"/>
      <x:c r="E494" s="93" t="n">
        <x:f>IFERROR(VLOOKUP(D494,'Assumptions'!$A$19:$C$23,3,FALSE),0)</x:f>
        <x:v>0</x:v>
      </x:c>
      <x:c r="F494" s="94"/>
      <x:c r="G494" s="93" t="n">
        <x:f>IF(D494="",0,E494+F494)</x:f>
        <x:v>0</x:v>
      </x:c>
      <x:c r="H494" s="98" t="n">
        <x:f>IFERROR(VLOOKUP(D494,'Assumptions'!$A$19:$C$23,2,FALSE),0)</x:f>
        <x:v>0</x:v>
      </x:c>
      <x:c r="I494" s="93" t="n">
        <x:f>IF(D494="",0,H494*'Assumptions'!$B$10)</x:f>
        <x:v>0</x:v>
      </x:c>
      <x:c r="J494" s="337" t="n">
        <x:f>IF(D494="",0,G494-I494)</x:f>
        <x:v>0</x:v>
      </x:c>
      <x:c r="K494" s="331" t="n">
        <x:f>IF(G494=0,0,J494/G494)</x:f>
        <x:v>0</x:v>
      </x:c>
      <x:c r="L494" s="343" t="n">
        <x:f>IF(D494="",0,J494-I494*'Assumptions'!$B$11)</x:f>
        <x:v>0</x:v>
      </x:c>
      <x:c r="M494" s="80"/>
      <x:c r="N494" s="81"/>
    </x:row>
    <x:row r="495">
      <x:c r="A495" s="325"/>
      <x:c r="B495" s="328"/>
      <x:c r="C495" s="75"/>
      <x:c r="D495" s="81"/>
      <x:c r="E495" s="93" t="n">
        <x:f>IFERROR(VLOOKUP(D495,'Assumptions'!$A$19:$C$23,3,FALSE),0)</x:f>
        <x:v>0</x:v>
      </x:c>
      <x:c r="F495" s="94"/>
      <x:c r="G495" s="93" t="n">
        <x:f>IF(D495="",0,E495+F495)</x:f>
        <x:v>0</x:v>
      </x:c>
      <x:c r="H495" s="98" t="n">
        <x:f>IFERROR(VLOOKUP(D495,'Assumptions'!$A$19:$C$23,2,FALSE),0)</x:f>
        <x:v>0</x:v>
      </x:c>
      <x:c r="I495" s="93" t="n">
        <x:f>IF(D495="",0,H495*'Assumptions'!$B$10)</x:f>
        <x:v>0</x:v>
      </x:c>
      <x:c r="J495" s="337" t="n">
        <x:f>IF(D495="",0,G495-I495)</x:f>
        <x:v>0</x:v>
      </x:c>
      <x:c r="K495" s="331" t="n">
        <x:f>IF(G495=0,0,J495/G495)</x:f>
        <x:v>0</x:v>
      </x:c>
      <x:c r="L495" s="343" t="n">
        <x:f>IF(D495="",0,J495-I495*'Assumptions'!$B$11)</x:f>
        <x:v>0</x:v>
      </x:c>
      <x:c r="M495" s="80"/>
      <x:c r="N495" s="81"/>
    </x:row>
    <x:row r="496">
      <x:c r="A496" s="325"/>
      <x:c r="B496" s="328"/>
      <x:c r="C496" s="75"/>
      <x:c r="D496" s="81"/>
      <x:c r="E496" s="93" t="n">
        <x:f>IFERROR(VLOOKUP(D496,'Assumptions'!$A$19:$C$23,3,FALSE),0)</x:f>
        <x:v>0</x:v>
      </x:c>
      <x:c r="F496" s="94"/>
      <x:c r="G496" s="93" t="n">
        <x:f>IF(D496="",0,E496+F496)</x:f>
        <x:v>0</x:v>
      </x:c>
      <x:c r="H496" s="98" t="n">
        <x:f>IFERROR(VLOOKUP(D496,'Assumptions'!$A$19:$C$23,2,FALSE),0)</x:f>
        <x:v>0</x:v>
      </x:c>
      <x:c r="I496" s="93" t="n">
        <x:f>IF(D496="",0,H496*'Assumptions'!$B$10)</x:f>
        <x:v>0</x:v>
      </x:c>
      <x:c r="J496" s="337" t="n">
        <x:f>IF(D496="",0,G496-I496)</x:f>
        <x:v>0</x:v>
      </x:c>
      <x:c r="K496" s="331" t="n">
        <x:f>IF(G496=0,0,J496/G496)</x:f>
        <x:v>0</x:v>
      </x:c>
      <x:c r="L496" s="343" t="n">
        <x:f>IF(D496="",0,J496-I496*'Assumptions'!$B$11)</x:f>
        <x:v>0</x:v>
      </x:c>
      <x:c r="M496" s="80"/>
      <x:c r="N496" s="81"/>
    </x:row>
    <x:row r="497">
      <x:c r="A497" s="325"/>
      <x:c r="B497" s="328"/>
      <x:c r="C497" s="75"/>
      <x:c r="D497" s="81"/>
      <x:c r="E497" s="93" t="n">
        <x:f>IFERROR(VLOOKUP(D497,'Assumptions'!$A$19:$C$23,3,FALSE),0)</x:f>
        <x:v>0</x:v>
      </x:c>
      <x:c r="F497" s="94"/>
      <x:c r="G497" s="93" t="n">
        <x:f>IF(D497="",0,E497+F497)</x:f>
        <x:v>0</x:v>
      </x:c>
      <x:c r="H497" s="98" t="n">
        <x:f>IFERROR(VLOOKUP(D497,'Assumptions'!$A$19:$C$23,2,FALSE),0)</x:f>
        <x:v>0</x:v>
      </x:c>
      <x:c r="I497" s="93" t="n">
        <x:f>IF(D497="",0,H497*'Assumptions'!$B$10)</x:f>
        <x:v>0</x:v>
      </x:c>
      <x:c r="J497" s="337" t="n">
        <x:f>IF(D497="",0,G497-I497)</x:f>
        <x:v>0</x:v>
      </x:c>
      <x:c r="K497" s="331" t="n">
        <x:f>IF(G497=0,0,J497/G497)</x:f>
        <x:v>0</x:v>
      </x:c>
      <x:c r="L497" s="343" t="n">
        <x:f>IF(D497="",0,J497-I497*'Assumptions'!$B$11)</x:f>
        <x:v>0</x:v>
      </x:c>
      <x:c r="M497" s="80"/>
      <x:c r="N497" s="81"/>
    </x:row>
    <x:row r="498">
      <x:c r="A498" s="325"/>
      <x:c r="B498" s="328"/>
      <x:c r="C498" s="75"/>
      <x:c r="D498" s="81"/>
      <x:c r="E498" s="93" t="n">
        <x:f>IFERROR(VLOOKUP(D498,'Assumptions'!$A$19:$C$23,3,FALSE),0)</x:f>
        <x:v>0</x:v>
      </x:c>
      <x:c r="F498" s="94"/>
      <x:c r="G498" s="93" t="n">
        <x:f>IF(D498="",0,E498+F498)</x:f>
        <x:v>0</x:v>
      </x:c>
      <x:c r="H498" s="98" t="n">
        <x:f>IFERROR(VLOOKUP(D498,'Assumptions'!$A$19:$C$23,2,FALSE),0)</x:f>
        <x:v>0</x:v>
      </x:c>
      <x:c r="I498" s="93" t="n">
        <x:f>IF(D498="",0,H498*'Assumptions'!$B$10)</x:f>
        <x:v>0</x:v>
      </x:c>
      <x:c r="J498" s="337" t="n">
        <x:f>IF(D498="",0,G498-I498)</x:f>
        <x:v>0</x:v>
      </x:c>
      <x:c r="K498" s="331" t="n">
        <x:f>IF(G498=0,0,J498/G498)</x:f>
        <x:v>0</x:v>
      </x:c>
      <x:c r="L498" s="343" t="n">
        <x:f>IF(D498="",0,J498-I498*'Assumptions'!$B$11)</x:f>
        <x:v>0</x:v>
      </x:c>
      <x:c r="M498" s="80"/>
      <x:c r="N498" s="81"/>
    </x:row>
    <x:row r="499">
      <x:c r="A499" s="325"/>
      <x:c r="B499" s="328"/>
      <x:c r="C499" s="75"/>
      <x:c r="D499" s="81"/>
      <x:c r="E499" s="93" t="n">
        <x:f>IFERROR(VLOOKUP(D499,'Assumptions'!$A$19:$C$23,3,FALSE),0)</x:f>
        <x:v>0</x:v>
      </x:c>
      <x:c r="F499" s="94"/>
      <x:c r="G499" s="93" t="n">
        <x:f>IF(D499="",0,E499+F499)</x:f>
        <x:v>0</x:v>
      </x:c>
      <x:c r="H499" s="98" t="n">
        <x:f>IFERROR(VLOOKUP(D499,'Assumptions'!$A$19:$C$23,2,FALSE),0)</x:f>
        <x:v>0</x:v>
      </x:c>
      <x:c r="I499" s="93" t="n">
        <x:f>IF(D499="",0,H499*'Assumptions'!$B$10)</x:f>
        <x:v>0</x:v>
      </x:c>
      <x:c r="J499" s="337" t="n">
        <x:f>IF(D499="",0,G499-I499)</x:f>
        <x:v>0</x:v>
      </x:c>
      <x:c r="K499" s="331" t="n">
        <x:f>IF(G499=0,0,J499/G499)</x:f>
        <x:v>0</x:v>
      </x:c>
      <x:c r="L499" s="343" t="n">
        <x:f>IF(D499="",0,J499-I499*'Assumptions'!$B$11)</x:f>
        <x:v>0</x:v>
      </x:c>
      <x:c r="M499" s="80"/>
      <x:c r="N499" s="81"/>
    </x:row>
    <x:row r="500">
      <x:c r="A500" s="325"/>
      <x:c r="B500" s="328"/>
      <x:c r="C500" s="75"/>
      <x:c r="D500" s="81"/>
      <x:c r="E500" s="93" t="n">
        <x:f>IFERROR(VLOOKUP(D500,'Assumptions'!$A$19:$C$23,3,FALSE),0)</x:f>
        <x:v>0</x:v>
      </x:c>
      <x:c r="F500" s="94"/>
      <x:c r="G500" s="93" t="n">
        <x:f>IF(D500="",0,E500+F500)</x:f>
        <x:v>0</x:v>
      </x:c>
      <x:c r="H500" s="98" t="n">
        <x:f>IFERROR(VLOOKUP(D500,'Assumptions'!$A$19:$C$23,2,FALSE),0)</x:f>
        <x:v>0</x:v>
      </x:c>
      <x:c r="I500" s="93" t="n">
        <x:f>IF(D500="",0,H500*'Assumptions'!$B$10)</x:f>
        <x:v>0</x:v>
      </x:c>
      <x:c r="J500" s="337" t="n">
        <x:f>IF(D500="",0,G500-I500)</x:f>
        <x:v>0</x:v>
      </x:c>
      <x:c r="K500" s="331" t="n">
        <x:f>IF(G500=0,0,J500/G500)</x:f>
        <x:v>0</x:v>
      </x:c>
      <x:c r="L500" s="343" t="n">
        <x:f>IF(D500="",0,J500-I500*'Assumptions'!$B$11)</x:f>
        <x:v>0</x:v>
      </x:c>
      <x:c r="M500" s="80"/>
      <x:c r="N500" s="81"/>
    </x:row>
    <x:row r="501">
      <x:c r="A501" s="325"/>
      <x:c r="B501" s="328"/>
      <x:c r="C501" s="75"/>
      <x:c r="D501" s="81"/>
      <x:c r="E501" s="93" t="n">
        <x:f>IFERROR(VLOOKUP(D501,'Assumptions'!$A$19:$C$23,3,FALSE),0)</x:f>
        <x:v>0</x:v>
      </x:c>
      <x:c r="F501" s="94"/>
      <x:c r="G501" s="93" t="n">
        <x:f>IF(D501="",0,E501+F501)</x:f>
        <x:v>0</x:v>
      </x:c>
      <x:c r="H501" s="98" t="n">
        <x:f>IFERROR(VLOOKUP(D501,'Assumptions'!$A$19:$C$23,2,FALSE),0)</x:f>
        <x:v>0</x:v>
      </x:c>
      <x:c r="I501" s="93" t="n">
        <x:f>IF(D501="",0,H501*'Assumptions'!$B$10)</x:f>
        <x:v>0</x:v>
      </x:c>
      <x:c r="J501" s="337" t="n">
        <x:f>IF(D501="",0,G501-I501)</x:f>
        <x:v>0</x:v>
      </x:c>
      <x:c r="K501" s="331" t="n">
        <x:f>IF(G501=0,0,J501/G501)</x:f>
        <x:v>0</x:v>
      </x:c>
      <x:c r="L501" s="343" t="n">
        <x:f>IF(D501="",0,J501-I501*'Assumptions'!$B$11)</x:f>
        <x:v>0</x:v>
      </x:c>
      <x:c r="M501" s="80"/>
      <x:c r="N501" s="81"/>
    </x:row>
    <x:row r="502">
      <x:c r="A502" s="325"/>
      <x:c r="B502" s="328"/>
      <x:c r="C502" s="75"/>
      <x:c r="D502" s="81"/>
      <x:c r="E502" s="93" t="n">
        <x:f>IFERROR(VLOOKUP(D502,'Assumptions'!$A$19:$C$23,3,FALSE),0)</x:f>
        <x:v>0</x:v>
      </x:c>
      <x:c r="F502" s="94"/>
      <x:c r="G502" s="93" t="n">
        <x:f>IF(D502="",0,E502+F502)</x:f>
        <x:v>0</x:v>
      </x:c>
      <x:c r="H502" s="98" t="n">
        <x:f>IFERROR(VLOOKUP(D502,'Assumptions'!$A$19:$C$23,2,FALSE),0)</x:f>
        <x:v>0</x:v>
      </x:c>
      <x:c r="I502" s="93" t="n">
        <x:f>IF(D502="",0,H502*'Assumptions'!$B$10)</x:f>
        <x:v>0</x:v>
      </x:c>
      <x:c r="J502" s="337" t="n">
        <x:f>IF(D502="",0,G502-I502)</x:f>
        <x:v>0</x:v>
      </x:c>
      <x:c r="K502" s="331" t="n">
        <x:f>IF(G502=0,0,J502/G502)</x:f>
        <x:v>0</x:v>
      </x:c>
      <x:c r="L502" s="343" t="n">
        <x:f>IF(D502="",0,J502-I502*'Assumptions'!$B$11)</x:f>
        <x:v>0</x:v>
      </x:c>
      <x:c r="M502" s="80"/>
      <x:c r="N502" s="81"/>
    </x:row>
    <x:row r="503">
      <x:c r="A503" s="325"/>
      <x:c r="B503" s="328"/>
      <x:c r="C503" s="75"/>
      <x:c r="D503" s="81"/>
      <x:c r="E503" s="93" t="n">
        <x:f>IFERROR(VLOOKUP(D503,'Assumptions'!$A$19:$C$23,3,FALSE),0)</x:f>
        <x:v>0</x:v>
      </x:c>
      <x:c r="F503" s="94"/>
      <x:c r="G503" s="93" t="n">
        <x:f>IF(D503="",0,E503+F503)</x:f>
        <x:v>0</x:v>
      </x:c>
      <x:c r="H503" s="98" t="n">
        <x:f>IFERROR(VLOOKUP(D503,'Assumptions'!$A$19:$C$23,2,FALSE),0)</x:f>
        <x:v>0</x:v>
      </x:c>
      <x:c r="I503" s="93" t="n">
        <x:f>IF(D503="",0,H503*'Assumptions'!$B$10)</x:f>
        <x:v>0</x:v>
      </x:c>
      <x:c r="J503" s="337" t="n">
        <x:f>IF(D503="",0,G503-I503)</x:f>
        <x:v>0</x:v>
      </x:c>
      <x:c r="K503" s="331" t="n">
        <x:f>IF(G503=0,0,J503/G503)</x:f>
        <x:v>0</x:v>
      </x:c>
      <x:c r="L503" s="343" t="n">
        <x:f>IF(D503="",0,J503-I503*'Assumptions'!$B$11)</x:f>
        <x:v>0</x:v>
      </x:c>
      <x:c r="M503" s="80"/>
      <x:c r="N503" s="81"/>
    </x:row>
    <x:row r="504">
      <x:c r="A504" s="326"/>
      <x:c r="B504" s="329"/>
      <x:c r="C504" s="83"/>
      <x:c r="D504" s="84"/>
      <x:c r="E504" s="95" t="n">
        <x:f>IFERROR(VLOOKUP(D504,'Assumptions'!$A$19:$C$23,3,FALSE),0)</x:f>
        <x:v>0</x:v>
      </x:c>
      <x:c r="F504" s="96"/>
      <x:c r="G504" s="95" t="n">
        <x:f>IF(D504="",0,E504+F504)</x:f>
        <x:v>0</x:v>
      </x:c>
      <x:c r="H504" s="99" t="n">
        <x:f>IFERROR(VLOOKUP(D504,'Assumptions'!$A$19:$C$23,2,FALSE),0)</x:f>
        <x:v>0</x:v>
      </x:c>
      <x:c r="I504" s="95" t="n">
        <x:f>IF(D504="",0,H504*'Assumptions'!$B$10)</x:f>
        <x:v>0</x:v>
      </x:c>
      <x:c r="J504" s="338" t="n">
        <x:f>IF(D504="",0,G504-I504)</x:f>
        <x:v>0</x:v>
      </x:c>
      <x:c r="K504" s="332" t="n">
        <x:f>IF(G504=0,0,J504/G504)</x:f>
        <x:v>0</x:v>
      </x:c>
      <x:c r="L504" s="344" t="n">
        <x:f>IF(D504="",0,J504-I504*'Assumptions'!$B$11)</x:f>
        <x:v>0</x:v>
      </x:c>
      <x:c r="M504" s="82"/>
      <x:c r="N504" s="84"/>
    </x:row>
  </x:sheetData>
  <x:mergeCells>
    <x:mergeCell ref="A1:N1"/>
    <x:mergeCell ref="A2:N2"/>
  </x:mergeCells>
  <x:conditionalFormatting sqref="L5:L504">
    <x:cfRule type="cellIs" dxfId="1" priority="1" operator="lessThan">
      <x:formula>0</x:formula>
    </x:cfRule>
  </x:conditionalFormatting>
  <x:conditionalFormatting sqref="M5:M504">
    <x:cfRule type="containsText" dxfId="2" priority="2" operator="containsText" text="Yes"/>
  </x:conditionalFormatting>
  <x:conditionalFormatting sqref="J5:J504">
    <x:cfRule type="cellIs" dxfId="11" priority="3" operator="lessThan">
      <x:formula>0</x:formula>
    </x:cfRule>
  </x:conditionalFormatting>
  <x:dataValidations count="3">
    <x:dataValidation type="list" sqref="D5:D504">
      <x:formula1>"Tingi,Basic,Starter,Pro,Elite"</x:formula1>
    </x:dataValidation>
    <x:dataValidation type="list" sqref="C5:C504">
      <x:formula1>"GCash,Dodo,Bank,Cash,Other"</x:formula1>
    </x:dataValidation>
    <x:dataValidation type="list" sqref="M5:M504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9dce0632d745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7" hidden="0" customWidth="1"/>
    <x:col min="3" max="3" width="45" hidden="0" customWidth="1"/>
    <x:col min="4" max="4" width="29" hidden="0" customWidth="1"/>
    <x:col min="5" max="5" width="18" hidden="0" customWidth="1"/>
    <x:col min="6" max="6" width="45" hidden="0" customWidth="1"/>
    <x:col min="7" max="7" width="17" hidden="0" customWidth="1"/>
    <x:col min="8" max="8" width="17" hidden="0" customWidth="1"/>
  </x:cols>
  <x:sheetData>
    <x:row r="1" ht="32" customHeight="1">
      <x:c r="A1" s="307" t="str">
        <x:v>Syncraft — Simple Profit Settings</x:v>
      </x:c>
      <x:c r="B1" s="307"/>
      <x:c r="C1" s="307"/>
      <x:c r="D1" s="307"/>
      <x:c r="E1" s="307"/>
      <x:c r="F1" s="307"/>
      <x:c r="G1" s="45"/>
      <x:c r="H1"/>
    </x:row>
    <x:row r="2" ht="26" customHeight="1">
      <x:c r="A2" s="308" t="str">
        <x:v>Main basis: Garment Extraction costs about ₱10.45 per successful 12-credit job. Blue/yellow cells are editable.</x:v>
      </x:c>
      <x:c r="B2" s="308"/>
      <x:c r="C2" s="308"/>
      <x:c r="D2" s="308"/>
      <x:c r="E2" s="308"/>
      <x:c r="F2" s="308"/>
      <x:c r="G2" s="45"/>
      <x:c r="H2"/>
    </x:row>
    <x:row r="3">
      <x:c r="A3" s="45"/>
      <x:c r="B3" s="45"/>
      <x:c r="C3" s="45"/>
      <x:c r="D3" s="45"/>
      <x:c r="E3" s="45"/>
      <x:c r="F3" s="45"/>
      <x:c r="G3" s="45"/>
      <x:c r="H3"/>
    </x:row>
    <x:row r="4" ht="22" customHeight="1">
      <x:c r="A4" s="309" t="str">
        <x:v>ONLY THE IMPORTANT INPUTS</x:v>
      </x:c>
      <x:c r="B4" s="309"/>
      <x:c r="C4" s="309"/>
      <x:c r="D4" s="309"/>
      <x:c r="E4" s="309"/>
      <x:c r="F4" s="309"/>
      <x:c r="G4" s="45"/>
      <x:c r="H4"/>
    </x:row>
    <x:row r="5">
      <x:c r="A5" s="310" t="str">
        <x:v>Input</x:v>
      </x:c>
      <x:c r="B5" s="310" t="str">
        <x:v>Value</x:v>
      </x:c>
      <x:c r="C5" s="310" t="str">
        <x:v>Plain meaning</x:v>
      </x:c>
      <x:c r="D5" s="310" t="str">
        <x:v>Simple output</x:v>
      </x:c>
      <x:c r="E5" s="310" t="str">
        <x:v>Value</x:v>
      </x:c>
      <x:c r="F5" s="310" t="str">
        <x:v>What it tells you</x:v>
      </x:c>
      <x:c r="G5" s="45"/>
      <x:c r="H5"/>
    </x:row>
    <x:row r="6">
      <x:c r="A6" s="45" t="str">
        <x:v>As-of date</x:v>
      </x:c>
      <x:c r="B6" s="311" t="n">
        <x:v>46251.42333049769</x:v>
      </x:c>
      <x:c r="C6" s="45" t="str">
        <x:v>Last workbook update</x:v>
      </x:c>
      <x:c r="D6" s="45" t="str">
        <x:v>Future provider cost owed</x:v>
      </x:c>
      <x:c r="E6" s="312" t="n">
        <x:f>B12*B10</x:f>
        <x:v>7405.403417468668</x:v>
      </x:c>
      <x:c r="F6" s="45" t="str">
        <x:v>Estimated cost if outstanding credits are used mostly on Garment</x:v>
      </x:c>
      <x:c r="G6" s="45"/>
      <x:c r="H6"/>
    </x:row>
    <x:row r="7">
      <x:c r="A7" s="45" t="str">
        <x:v>USD / PHP rate</x:v>
      </x:c>
      <x:c r="B7" s="313" t="n">
        <x:v>62</x:v>
      </x:c>
      <x:c r="C7" s="45" t="str">
        <x:v>Used to convert provider prices</x:v>
      </x:c>
      <x:c r="D7" s="45" t="str">
        <x:v>Provider funding gap</x:v>
      </x:c>
      <x:c r="E7" s="312" t="n">
        <x:f>MAX(E6-B15,0)</x:f>
        <x:v>4091.3794174686677</x:v>
      </x:c>
      <x:c r="F7" s="45" t="str">
        <x:v>Future provider cost minus current provider wallets</x:v>
      </x:c>
      <x:c r="G7" s="45"/>
      <x:c r="H7"/>
    </x:row>
    <x:row r="8">
      <x:c r="A8" s="45" t="str">
        <x:v>Garment provider cost / standard job</x:v>
      </x:c>
      <x:c r="B8" s="314" t="n">
        <x:f>'Service Cost Model'!J15</x:f>
        <x:v>10.447312604</x:v>
      </x:c>
      <x:c r="C8" s="45" t="str">
        <x:v>Nano + ESRGAN + Recraft; linked from detailed audit</x:v>
      </x:c>
      <x:c r="D8" s="45" t="str">
        <x:v>Standard jobs still owed</x:v>
      </x:c>
      <x:c r="E8" s="315" t="n">
        <x:f>B12/B9</x:f>
        <x:v>708.8333333333334</x:v>
      </x:c>
      <x:c r="F8" s="45" t="str">
        <x:v>Outstanding credits divided by 12</x:v>
      </x:c>
      <x:c r="G8" s="45"/>
      <x:c r="H8"/>
    </x:row>
    <x:row r="9">
      <x:c r="A9" s="45" t="str">
        <x:v>Credits per standard job</x:v>
      </x:c>
      <x:c r="B9" s="316" t="n">
        <x:v>12</x:v>
      </x:c>
      <x:c r="C9" s="45" t="str">
        <x:v>One normal Garment/Logo operation</x:v>
      </x:c>
      <x:c r="D9" s="45" t="str">
        <x:v>Recorded sales</x:v>
      </x:c>
      <x:c r="E9" s="312" t="n">
        <x:f>SUM('Payment Tracker'!$G$5:$G$504)</x:f>
        <x:v>3270</x:v>
      </x:c>
      <x:c r="F9" s="45" t="str">
        <x:v>Payments added to Payment Tracker</x:v>
      </x:c>
      <x:c r="G9" s="45"/>
      <x:c r="H9"/>
    </x:row>
    <x:row r="10">
      <x:c r="A10" s="45" t="str">
        <x:v>Provider cost per credit</x:v>
      </x:c>
      <x:c r="B10" s="314" t="n">
        <x:f>B8/B9</x:f>
        <x:v>0.8706093836666667</x:v>
      </x:c>
      <x:c r="C10" s="45" t="str">
        <x:v>Garment cost divided by 12 credits</x:v>
      </x:c>
      <x:c r="D10" s="45" t="str">
        <x:v>Estimated provider cost</x:v>
      </x:c>
      <x:c r="E10" s="312" t="n">
        <x:f>SUM('Payment Tracker'!$I$5:$I$504)</x:f>
        <x:v>1462.6237645599997</x:v>
      </x:c>
      <x:c r="F10" s="45" t="str">
        <x:v>Cost attached to those sold credits</x:v>
      </x:c>
      <x:c r="G10" s="45"/>
      <x:c r="H10"/>
    </x:row>
    <x:row r="11">
      <x:c r="A11" s="45" t="str">
        <x:v>Optional extra buffer</x:v>
      </x:c>
      <x:c r="B11" s="317" t="n">
        <x:v>0</x:v>
      </x:c>
      <x:c r="C11" s="45" t="str">
        <x:v>Not deducted unless you choose a percentage</x:v>
      </x:c>
      <x:c r="D11" s="45" t="str">
        <x:v>Direct profit</x:v>
      </x:c>
      <x:c r="E11" s="312" t="n">
        <x:f>SUM('Payment Tracker'!$J$5:$J$504)</x:f>
        <x:v>1807.37623544</x:v>
      </x:c>
      <x:c r="F11" s="45" t="str">
        <x:v>Recorded sales minus provider cost</x:v>
      </x:c>
      <x:c r="G11" s="45"/>
      <x:c r="H11"/>
    </x:row>
    <x:row r="12">
      <x:c r="A12" s="45" t="str">
        <x:v>Outstanding user credits</x:v>
      </x:c>
      <x:c r="B12" s="318" t="n">
        <x:v>8506</x:v>
      </x:c>
      <x:c r="C12" s="45" t="str">
        <x:v>Read-only live profiles refresh: 90 profiles with positive balances; 2453 profiles checked</x:v>
      </x:c>
      <x:c r="D12" s="45" t="str">
        <x:v>Direct profit margin</x:v>
      </x:c>
      <x:c r="E12" s="319" t="n">
        <x:f>IF(E9=0,0,E11/E9)</x:f>
        <x:v>0.5527144450886851</x:v>
      </x:c>
      <x:c r="F12" s="45" t="str">
        <x:v>Direct profit divided by recorded sales</x:v>
      </x:c>
      <x:c r="G12" s="45"/>
      <x:c r="H12"/>
    </x:row>
    <x:row r="13">
      <x:c r="A13" s="45" t="str">
        <x:v>Fal wallet balance (USD)</x:v>
      </x:c>
      <x:c r="B13" s="320" t="n">
        <x:v>50.65</x:v>
      </x:c>
      <x:c r="C13" s="45" t="str">
        <x:v>Fal balance checked from the signed-in Fal dashboard on 2026-08-14</x:v>
      </x:c>
      <x:c r="D13" s="45"/>
      <x:c r="E13" s="45"/>
      <x:c r="F13" s="45"/>
      <x:c r="G13" s="45"/>
      <x:c r="H13"/>
    </x:row>
    <x:row r="14">
      <x:c r="A14" s="45" t="str">
        <x:v>Recraft balance (USD)</x:v>
      </x:c>
      <x:c r="B14" s="321" t="n">
        <x:v>2.802</x:v>
      </x:c>
      <x:c r="C14" s="45" t="str">
        <x:v>2,802 API units remaining; 1,000 API units = $1</x:v>
      </x:c>
      <x:c r="D14" s="45"/>
      <x:c r="E14" s="45"/>
      <x:c r="F14" s="45"/>
      <x:c r="G14" s="45"/>
      <x:c r="H14"/>
    </x:row>
    <x:row r="15">
      <x:c r="A15" s="45" t="str">
        <x:v>Provider wallets in PHP</x:v>
      </x:c>
      <x:c r="B15" s="322" t="n">
        <x:f>(B13+B14)*B7</x:f>
        <x:v>3314.024</x:v>
      </x:c>
      <x:c r="C15" s="45" t="str">
        <x:v>Fal + Recraft converted to pesos</x:v>
      </x:c>
      <x:c r="D15" s="45"/>
      <x:c r="E15" s="45"/>
      <x:c r="F15" s="45"/>
      <x:c r="G15" s="45"/>
      <x:c r="H15"/>
    </x:row>
    <x:row r="16">
      <x:c r="A16" s="45"/>
      <x:c r="B16" s="45"/>
      <x:c r="C16" s="45"/>
      <x:c r="D16" s="45"/>
      <x:c r="E16" s="45"/>
      <x:c r="F16" s="45"/>
      <x:c r="G16" s="45"/>
      <x:c r="H16"/>
    </x:row>
    <x:row r="17" ht="22" customHeight="1">
      <x:c r="A17" s="309" t="str">
        <x:v>CURRENT LIVE PLAN — DIRECT PROFIT</x:v>
      </x:c>
      <x:c r="B17" s="309"/>
      <x:c r="C17" s="309"/>
      <x:c r="D17" s="309"/>
      <x:c r="E17" s="309"/>
      <x:c r="F17" s="309"/>
      <x:c r="G17" s="309"/>
      <x:c r="H17"/>
    </x:row>
    <x:row r="18">
      <x:c r="A18" s="310" t="str">
        <x:v>Plan</x:v>
      </x:c>
      <x:c r="B18" s="310" t="str">
        <x:v>Credits</x:v>
      </x:c>
      <x:c r="C18" s="310" t="str">
        <x:v>Selling Price</x:v>
      </x:c>
      <x:c r="D18" s="310" t="str">
        <x:v>Standard Jobs</x:v>
      </x:c>
      <x:c r="E18" s="310" t="str">
        <x:v>Provider Cost</x:v>
      </x:c>
      <x:c r="F18" s="310" t="str">
        <x:v>Direct Profit</x:v>
      </x:c>
      <x:c r="G18" s="310" t="str">
        <x:v>Profit Margin</x:v>
      </x:c>
      <x:c r="H18"/>
    </x:row>
    <x:row r="19">
      <x:c r="A19" s="62" t="str">
        <x:v>Tingi</x:v>
      </x:c>
      <x:c r="B19" s="63" t="n">
        <x:v>24</x:v>
      </x:c>
      <x:c r="C19" s="64" t="n">
        <x:v>60</x:v>
      </x:c>
      <x:c r="D19" s="323" t="n">
        <x:f>B19/$B$9</x:f>
        <x:v>2</x:v>
      </x:c>
      <x:c r="E19" s="65" t="n">
        <x:f>B19*$B$10</x:f>
        <x:v>20.894625208</x:v>
      </x:c>
      <x:c r="F19" s="322" t="n">
        <x:f>C19-E19</x:f>
        <x:v>39.105374792</x:v>
      </x:c>
      <x:c r="G19" s="66" t="n">
        <x:f>IF(C19=0,0,F19/C19)</x:f>
        <x:v>0.6517562465333333</x:v>
      </x:c>
      <x:c r="H19"/>
    </x:row>
    <x:row r="20">
      <x:c r="A20" s="62" t="str">
        <x:v>Basic</x:v>
      </x:c>
      <x:c r="B20" s="63" t="n">
        <x:v>60</x:v>
      </x:c>
      <x:c r="C20" s="64" t="n">
        <x:v>149</x:v>
      </x:c>
      <x:c r="D20" s="323" t="n">
        <x:f>B20/$B$9</x:f>
        <x:v>5</x:v>
      </x:c>
      <x:c r="E20" s="65" t="n">
        <x:f>B20*$B$10</x:f>
        <x:v>52.236563020000006</x:v>
      </x:c>
      <x:c r="F20" s="322" t="n">
        <x:f>C20-E20</x:f>
        <x:v>96.76343698</x:v>
      </x:c>
      <x:c r="G20" s="66" t="n">
        <x:f>IF(C20=0,0,F20/C20)</x:f>
        <x:v>0.6494190401342281</x:v>
      </x:c>
      <x:c r="H20"/>
    </x:row>
    <x:row r="21">
      <x:c r="A21" s="62" t="str">
        <x:v>Starter</x:v>
      </x:c>
      <x:c r="B21" s="63" t="n">
        <x:v>168</x:v>
      </x:c>
      <x:c r="C21" s="64" t="n">
        <x:v>299</x:v>
      </x:c>
      <x:c r="D21" s="323" t="n">
        <x:f>B21/$B$9</x:f>
        <x:v>14</x:v>
      </x:c>
      <x:c r="E21" s="65" t="n">
        <x:f>B21*$B$10</x:f>
        <x:v>146.262376456</x:v>
      </x:c>
      <x:c r="F21" s="322" t="n">
        <x:f>C21-E21</x:f>
        <x:v>152.737623544</x:v>
      </x:c>
      <x:c r="G21" s="66" t="n">
        <x:f>IF(C21=0,0,F21/C21)</x:f>
        <x:v>0.5108281723879599</x:v>
      </x:c>
      <x:c r="H21"/>
    </x:row>
    <x:row r="22">
      <x:c r="A22" s="62" t="str">
        <x:v>Pro</x:v>
      </x:c>
      <x:c r="B22" s="63" t="n">
        <x:v>288</x:v>
      </x:c>
      <x:c r="C22" s="64" t="n">
        <x:v>499</x:v>
      </x:c>
      <x:c r="D22" s="323" t="n">
        <x:f>B22/$B$9</x:f>
        <x:v>24</x:v>
      </x:c>
      <x:c r="E22" s="65" t="n">
        <x:f>B22*$B$10</x:f>
        <x:v>250.735502496</x:v>
      </x:c>
      <x:c r="F22" s="322" t="n">
        <x:f>C22-E22</x:f>
        <x:v>248.264497504</x:v>
      </x:c>
      <x:c r="G22" s="66" t="n">
        <x:f>IF(C22=0,0,F22/C22)</x:f>
        <x:v>0.49752404309418835</x:v>
      </x:c>
      <x:c r="H22"/>
    </x:row>
    <x:row r="23">
      <x:c r="A23" s="62" t="str">
        <x:v>Elite</x:v>
      </x:c>
      <x:c r="B23" s="63" t="n">
        <x:v>528</x:v>
      </x:c>
      <x:c r="C23" s="64" t="n">
        <x:v>899</x:v>
      </x:c>
      <x:c r="D23" s="323" t="n">
        <x:f>B23/$B$9</x:f>
        <x:v>44</x:v>
      </x:c>
      <x:c r="E23" s="65" t="n">
        <x:f>B23*$B$10</x:f>
        <x:v>459.68175457600006</x:v>
      </x:c>
      <x:c r="F23" s="322" t="n">
        <x:f>C23-E23</x:f>
        <x:v>439.31824542399994</x:v>
      </x:c>
      <x:c r="G23" s="66" t="n">
        <x:f>IF(C23=0,0,F23/C23)</x:f>
        <x:v>0.48867435531034475</x:v>
      </x:c>
      <x:c r="H23"/>
    </x:row>
  </x:sheetData>
  <x:mergeCells>
    <x:mergeCell ref="A1:F1"/>
    <x:mergeCell ref="A2:F2"/>
    <x:mergeCell ref="A4:F4"/>
    <x:mergeCell ref="A17:G17"/>
  </x:mergeCells>
  <x:conditionalFormatting sqref="G19:G23">
    <x:cfRule type="cellIs" dxfId="0" priority="1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13b7568bee724b0c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6" hidden="0" customWidth="1"/>
    <x:col min="7" max="7" width="28" hidden="0" customWidth="1"/>
  </x:cols>
  <x:sheetData>
    <x:row r="1" ht="32" customHeight="1">
      <x:c r="A1" s="307" t="str">
        <x:v>Workbook Checks</x:v>
      </x:c>
      <x:c r="B1" s="307"/>
      <x:c r="C1" s="307"/>
      <x:c r="D1" s="307"/>
      <x:c r="E1" s="307"/>
      <x:c r="F1" s="307"/>
      <x:c r="G1" s="307"/>
    </x:row>
    <x:row r="2" ht="26" customHeight="1">
      <x:c r="A2" s="308" t="str">
        <x:v>PASS confirms that Direct Profit equals Payment minus Provider Cost and that plan totals tie.</x:v>
      </x:c>
      <x:c r="B2" s="308"/>
      <x:c r="C2" s="308"/>
      <x:c r="D2" s="308"/>
      <x:c r="E2" s="308"/>
      <x:c r="F2" s="308"/>
      <x:c r="G2" s="308"/>
    </x:row>
    <x:row r="3">
      <x:c r="A3" s="45"/>
      <x:c r="B3" s="45"/>
      <x:c r="C3" s="45"/>
      <x:c r="D3" s="45"/>
      <x:c r="E3" s="45"/>
      <x:c r="F3" s="45"/>
      <x:c r="G3" s="45"/>
    </x:row>
    <x:row r="4">
      <x:c r="A4" s="310" t="str">
        <x:v>Check</x:v>
      </x:c>
      <x:c r="B4" s="310" t="str">
        <x:v>Actual</x:v>
      </x:c>
      <x:c r="C4" s="310" t="str">
        <x:v>Expected</x:v>
      </x:c>
      <x:c r="D4" s="310" t="str">
        <x:v>Difference</x:v>
      </x:c>
      <x:c r="E4" s="310" t="str">
        <x:v>Tolerance</x:v>
      </x:c>
      <x:c r="F4" s="310" t="str">
        <x:v>Status</x:v>
      </x:c>
      <x:c r="G4" s="310" t="str">
        <x:v>Where to fix</x:v>
      </x:c>
    </x:row>
    <x:row r="5">
      <x:c r="A5" s="45" t="str">
        <x:v>Payment rows: Sales = Provider Cost + Direct Profit</x:v>
      </x:c>
      <x:c r="B5" s="45" t="n">
        <x:f>MAX(ABS('Payment Tracker'!G5-'Payment Tracker'!I5-'Payment Tracker'!J5),ABS('Payment Tracker'!G6-'Payment Tracker'!I6-'Payment Tracker'!J6))</x:f>
        <x:v>0</x:v>
      </x:c>
      <x:c r="C5" s="45" t="n">
        <x:v>0</x:v>
      </x:c>
      <x:c r="D5" s="45" t="n">
        <x:f>B5-C5</x:f>
        <x:v>0</x:v>
      </x:c>
      <x:c r="E5" s="45" t="n">
        <x:v>0.01</x:v>
      </x:c>
      <x:c r="F5" s="45" t="str">
        <x:f>IF(ABS(D5)&lt;=E5,"PASS","FAIL")</x:f>
        <x:v>PASS</x:v>
      </x:c>
      <x:c r="G5" s="45" t="str">
        <x:v>Payment Tracker I:J</x:v>
      </x:c>
    </x:row>
    <x:row r="6">
      <x:c r="A6" s="45" t="str">
        <x:v>Plan rows: Price = Provider Cost + Direct Profit</x:v>
      </x:c>
      <x:c r="B6" s="45" t="n">
        <x:f>MAX(ABS('Assumptions'!C19-'Assumptions'!E19-'Assumptions'!F19),ABS('Assumptions'!C20-'Assumptions'!E20-'Assumptions'!F20),ABS('Assumptions'!C21-'Assumptions'!E21-'Assumptions'!F21),ABS('Assumptions'!C22-'Assumptions'!E22-'Assumptions'!F22),ABS('Assumptions'!C23-'Assumptions'!E23-'Assumptions'!F23))</x:f>
        <x:v>0</x:v>
      </x:c>
      <x:c r="C6" s="45" t="n">
        <x:v>0</x:v>
      </x:c>
      <x:c r="D6" s="45" t="n">
        <x:f>B6-C6</x:f>
        <x:v>0</x:v>
      </x:c>
      <x:c r="E6" s="45" t="n">
        <x:v>0.01</x:v>
      </x:c>
      <x:c r="F6" s="45" t="str">
        <x:f>IF(ABS(D6)&lt;=E6,"PASS","FAIL")</x:f>
        <x:v>PASS</x:v>
      </x:c>
      <x:c r="G6" s="45" t="str">
        <x:v>Assumptions plan table</x:v>
      </x:c>
    </x:row>
    <x:row r="7">
      <x:c r="A7" s="45" t="str">
        <x:v>Garment provider cost per credit is positive</x:v>
      </x:c>
      <x:c r="B7" s="45" t="n">
        <x:f>'Assumptions'!B10</x:f>
        <x:v>0.8706093836666667</x:v>
      </x:c>
      <x:c r="C7" s="45" t="n">
        <x:v>0</x:v>
      </x:c>
      <x:c r="D7" s="45" t="n">
        <x:f>MIN(B7,0)</x:f>
        <x:v>0</x:v>
      </x:c>
      <x:c r="E7" s="45" t="n">
        <x:v>0</x:v>
      </x:c>
      <x:c r="F7" s="45" t="str">
        <x:f>IF(B7&gt;0,"PASS","FAIL")</x:f>
        <x:v>PASS</x:v>
      </x:c>
      <x:c r="G7" s="45" t="str">
        <x:v>Assumptions B10</x:v>
      </x:c>
    </x:row>
    <x:row r="8">
      <x:c r="A8" s="45" t="str">
        <x:v>Outstanding credits are non-negative</x:v>
      </x:c>
      <x:c r="B8" s="45" t="n">
        <x:f>'Assumptions'!B12</x:f>
        <x:v>8506</x:v>
      </x:c>
      <x:c r="C8" s="45" t="n">
        <x:v>0</x:v>
      </x:c>
      <x:c r="D8" s="45" t="n">
        <x:f>MIN(B8,0)</x:f>
        <x:v>0</x:v>
      </x:c>
      <x:c r="E8" s="45" t="n">
        <x:v>0</x:v>
      </x:c>
      <x:c r="F8" s="45" t="str">
        <x:f>IF(B8&gt;=0,"PASS","FAIL")</x:f>
        <x:v>PASS</x:v>
      </x:c>
      <x:c r="G8" s="45" t="str">
        <x:v>Assumptions B12</x:v>
      </x:c>
    </x:row>
    <x:row r="9">
      <x:c r="A9" s="45" t="str">
        <x:v>Optional buffer is non-negative</x:v>
      </x:c>
      <x:c r="B9" s="45" t="n">
        <x:f>'Assumptions'!B11</x:f>
        <x:v>0</x:v>
      </x:c>
      <x:c r="C9" s="45" t="n">
        <x:v>0</x:v>
      </x:c>
      <x:c r="D9" s="45" t="n">
        <x:f>MIN(B9,0)</x:f>
        <x:v>0</x:v>
      </x:c>
      <x:c r="E9" s="45" t="n">
        <x:v>0</x:v>
      </x:c>
      <x:c r="F9" s="45" t="str">
        <x:f>IF(B9&gt;=0,"PASS","FAIL")</x:f>
        <x:v>PASS</x:v>
      </x:c>
      <x:c r="G9" s="45" t="str">
        <x:v>Assumptions B11</x:v>
      </x:c>
    </x:row>
    <x:row r="10">
      <x:c r="A10" s="45"/>
      <x:c r="B10" s="45"/>
      <x:c r="C10" s="45"/>
      <x:c r="D10" s="45"/>
      <x:c r="E10" s="45"/>
      <x:c r="F10" s="45"/>
      <x:c r="G10" s="45"/>
    </x:row>
    <x:row r="11">
      <x:c r="A11" s="397" t="str">
        <x:v>MODEL STATUS</x:v>
      </x:c>
      <x:c r="B11" s="397" t="str">
        <x:f>IF(COUNTIF(F5:F16,"FAIL")=0,"PASS","FAIL")</x:f>
        <x:v>PASS</x:v>
      </x:c>
      <x:c r="C11" s="45"/>
      <x:c r="D11" s="45"/>
      <x:c r="E11" s="45"/>
      <x:c r="F11" s="45"/>
      <x:c r="G11" s="45"/>
    </x:row>
    <x:row r="12">
      <x:c r="A12" t="str">
        <x:v>Fal purchase amounts are non-negative</x:v>
      </x:c>
      <x:c r="B12" t="n">
        <x:f>MIN('Fal Purchases'!B13:B212,'Fal Purchases'!D13:D212)</x:f>
        <x:v>10</x:v>
      </x:c>
      <x:c r="C12" t="n">
        <x:v>0</x:v>
      </x:c>
      <x:c r="D12" t="n">
        <x:f>B12-C12</x:f>
        <x:v>10</x:v>
      </x:c>
      <x:c r="E12" t="n">
        <x:v>0</x:v>
      </x:c>
      <x:c r="F12" t="str">
        <x:f>IF(B12&gt;=0,"PASS","FAIL")</x:f>
        <x:v>PASS</x:v>
      </x:c>
      <x:c r="G12" t="str">
        <x:v>Fal Purchases B:D</x:v>
      </x:c>
    </x:row>
    <x:row r="13">
      <x:c r="A13" t="str">
        <x:v>Current Fal wallet is non-negative</x:v>
      </x:c>
      <x:c r="B13" t="n">
        <x:f>'Fal Purchases'!B7</x:f>
        <x:v>50.65</x:v>
      </x:c>
      <x:c r="C13" t="n">
        <x:v>0</x:v>
      </x:c>
      <x:c r="D13" t="n">
        <x:f>B13-C13</x:f>
        <x:v>50.65</x:v>
      </x:c>
      <x:c r="E13" t="n">
        <x:v>0</x:v>
      </x:c>
      <x:c r="F13" t="str">
        <x:f>IF(B13&gt;=0,"PASS","FAIL")</x:f>
        <x:v>PASS</x:v>
      </x:c>
      <x:c r="G13" t="str">
        <x:v>Fal Purchases B7</x:v>
      </x:c>
    </x:row>
    <x:row r="14">
      <x:c r="A14" t="str">
        <x:v>Confirmed expense summary ties to confirmed rows</x:v>
      </x:c>
      <x:c r="B14" t="n">
        <x:f>'All Expenses'!B5</x:f>
        <x:v>28941.55</x:v>
      </x:c>
      <x:c r="C14" t="n">
        <x:f>SUMIF('All Expenses'!F13:F40,"Confirmed",'All Expenses'!E13:E40)</x:f>
        <x:v>28941.55</x:v>
      </x:c>
      <x:c r="D14" t="n">
        <x:f>B14-C14</x:f>
        <x:v>0</x:v>
      </x:c>
      <x:c r="E14" t="n">
        <x:v>0.01</x:v>
      </x:c>
      <x:c r="F14" t="str">
        <x:f>IF(ABS(D14)&lt;=E14,"PASS","FAIL")</x:f>
        <x:v>PASS</x:v>
      </x:c>
      <x:c r="G14" t="str">
        <x:v>All Expenses B5 / expense table</x:v>
      </x:c>
    </x:row>
    <x:row r="15">
      <x:c r="A15" t="str">
        <x:v>Extra provider cash needed is non-negative</x:v>
      </x:c>
      <x:c r="B15" t="n">
        <x:f>'All Expenses'!D7</x:f>
        <x:v>3714.3437547845365</x:v>
      </x:c>
      <x:c r="C15" t="n">
        <x:v>0</x:v>
      </x:c>
      <x:c r="D15" t="n">
        <x:f>B15-C15</x:f>
        <x:v>3714.3437547845365</x:v>
      </x:c>
      <x:c r="E15" t="n">
        <x:v>0</x:v>
      </x:c>
      <x:c r="F15" t="str">
        <x:f>IF(B15&gt;=0,"PASS","FAIL")</x:f>
        <x:v>PASS</x:v>
      </x:c>
      <x:c r="G15" t="str">
        <x:v>All Expenses D7</x:v>
      </x:c>
    </x:row>
    <x:row r="16">
      <x:c r="A16" t="str">
        <x:v>Recraft receipts tie to expense summary</x:v>
      </x:c>
      <x:c r="B16" t="n">
        <x:f>'Recraft Purchases'!E6</x:f>
        <x:v>4281.55</x:v>
      </x:c>
      <x:c r="C16" t="n">
        <x:f>'All Expenses'!E17</x:f>
        <x:v>4281.55</x:v>
      </x:c>
      <x:c r="D16" t="n">
        <x:f>B16-C16</x:f>
        <x:v>0</x:v>
      </x:c>
      <x:c r="E16" t="n">
        <x:v>0.01</x:v>
      </x:c>
      <x:c r="F16" t="str">
        <x:f>IF(ABS(D16)&lt;=E16,"PASS","FAIL")</x:f>
        <x:v>PASS</x:v>
      </x:c>
      <x:c r="G16" t="str">
        <x:v>Recraft Purchases E6 / All Expenses E17</x:v>
      </x:c>
    </x:row>
  </x:sheetData>
  <x:mergeCells>
    <x:mergeCell ref="A1:G1"/>
    <x:mergeCell ref="A2:G2"/>
  </x:mergeCells>
  <x:conditionalFormatting sqref="F5:F12">
    <x:cfRule type="containsText" dxfId="5" priority="1" operator="containsText" text="PASS"/>
    <x:cfRule type="containsText" dxfId="6" priority="2" operator="containsText" text="FAIL"/>
    <x:cfRule type="containsText" dxfId="7" priority="3" operator="containsText" text="ACTION NEEDED"/>
  </x:conditionalFormatting>
  <x:conditionalFormatting sqref="F15:F16">
    <x:cfRule type="containsText" dxfId="9" priority="4" operator="containsText" text="PASS"/>
    <x:cfRule type="containsText" dxfId="10" priority="5" operator="containsText" text="FAIL"/>
  </x:conditionalFormatting>
  <x:conditionalFormatting sqref="F5:F11">
    <x:cfRule type="containsText" dxfId="12" priority="6" operator="containsText" text="PASS"/>
    <x:cfRule type="containsText" dxfId="13" priority="7" operator="containsText" text="FAIL"/>
  </x:conditionalFormatting>
  <x:conditionalFormatting sqref="F12:F13">
    <x:cfRule type="containsText" dxfId="14" priority="8" operator="containsText" text="PASS"/>
    <x:cfRule type="containsText" dxfId="15" priority="9" operator="containsText" text="FAIL"/>
  </x:conditionalFormatting>
  <x:conditionalFormatting sqref="B11:B11">
    <x:cfRule type="containsText" dxfId="16" priority="10" operator="containsText" text="PASS"/>
    <x:cfRule type="containsText" dxfId="17" priority="11" operator="containsText" text="FAIL"/>
  </x:conditionalFormatting>
  <x:conditionalFormatting sqref="F14:F15">
    <x:cfRule type="containsText" dxfId="18" priority="12" operator="containsText" text="PASS"/>
    <x:cfRule type="containsText" dxfId="19" priority="13" operator="containsText" text="FAIL"/>
  </x:conditionalFormatting>
  <x:conditionalFormatting sqref="F16:F16">
    <x:cfRule type="containsText" dxfId="20" priority="14" operator="containsText" text="PASS"/>
    <x:cfRule type="containsText" dxfId="21" priority="15" operator="containsText" text="FAIL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26" hidden="0" customWidth="1"/>
    <x:col min="4" max="4" width="14" hidden="0" customWidth="1"/>
    <x:col min="5" max="5" width="58" hidden="0" customWidth="1"/>
    <x:col min="6" max="6" width="48" hidden="0" customWidth="1"/>
  </x:cols>
  <x:sheetData>
    <x:row r="1" ht="32" customHeight="1">
      <x:c r="A1" s="44" t="str">
        <x:v>Sources &amp; Method Notes</x:v>
      </x:c>
      <x:c r="B1" s="44"/>
      <x:c r="C1" s="44"/>
      <x:c r="D1" s="44"/>
      <x:c r="E1" s="44"/>
      <x:c r="F1" s="44"/>
    </x:row>
    <x:row r="2" ht="26" customHeight="1">
      <x:c r="A2" s="46" t="str">
        <x:v>Inputs can change. Update assumptions when Fal pricing or exchange rates change.</x:v>
      </x:c>
      <x:c r="B2" s="46"/>
      <x:c r="C2" s="46"/>
      <x:c r="D2" s="46"/>
      <x:c r="E2" s="46"/>
      <x:c r="F2" s="46"/>
    </x:row>
    <x:row r="3">
      <x:c r="A3" s="45"/>
      <x:c r="B3" s="45"/>
      <x:c r="C3" s="45"/>
      <x:c r="D3" s="45"/>
      <x:c r="E3" s="45"/>
      <x:c r="F3" s="45"/>
    </x:row>
    <x:row r="4">
      <x:c r="A4" s="210" t="str">
        <x:v>Item</x:v>
      </x:c>
      <x:c r="B4" s="210" t="str">
        <x:v>Value</x:v>
      </x:c>
      <x:c r="C4" s="210" t="str">
        <x:v>Units</x:v>
      </x:c>
      <x:c r="D4" s="210" t="str">
        <x:v>As-of</x:v>
      </x:c>
      <x:c r="E4" s="210" t="str">
        <x:v>Source URL</x:v>
      </x:c>
      <x:c r="F4" s="210" t="str">
        <x:v>Notes</x:v>
      </x:c>
    </x:row>
    <x:row r="5">
      <x:c r="A5" s="45" t="str">
        <x:v>Nano Banana Pro</x:v>
      </x:c>
      <x:c r="B5" s="219" t="n">
        <x:v>0.15</x:v>
      </x:c>
      <x:c r="C5" s="45" t="str">
        <x:v>USD / successful image</x:v>
      </x:c>
      <x:c r="D5" s="236" t="n">
        <x:v>46247</x:v>
      </x:c>
      <x:c r="E5" s="153" t="str">
        <x:v>https://fal.ai/models/fal-ai/nano-banana-pro/edit</x:v>
      </x:c>
      <x:c r="F5" s="153" t="str">
        <x:v>Logo/Garment, full Universal, Extend</x:v>
      </x:c>
    </x:row>
    <x:row r="6">
      <x:c r="A6" s="45" t="str">
        <x:v>ESRGAN</x:v>
      </x:c>
      <x:c r="B6" s="219" t="n">
        <x:v>0.00111</x:v>
      </x:c>
      <x:c r="C6" s="45" t="str">
        <x:v>USD / compute second</x:v>
      </x:c>
      <x:c r="D6" s="236" t="n">
        <x:v>46247</x:v>
      </x:c>
      <x:c r="E6" s="153" t="str">
        <x:v>https://fal.ai/models/fal-ai/esrgan</x:v>
      </x:c>
      <x:c r="F6" s="153" t="str">
        <x:v>Observed average successful duration: 7.6622 sec</x:v>
      </x:c>
    </x:row>
    <x:row r="7">
      <x:c r="A7" s="45" t="str">
        <x:v>Clarity Upscaler</x:v>
      </x:c>
      <x:c r="B7" s="219" t="n">
        <x:v>0.03</x:v>
      </x:c>
      <x:c r="C7" s="45" t="str">
        <x:v>USD / output megapixel</x:v>
      </x:c>
      <x:c r="D7" s="236" t="n">
        <x:v>46247</x:v>
      </x:c>
      <x:c r="E7" s="153" t="str">
        <x:v>https://fal.ai/models/fal-ai/clarity-upscaler</x:v>
      </x:c>
      <x:c r="F7" s="153" t="str">
        <x:v>Observed avg 7.0214 MP; max 32.576 MP</x:v>
      </x:c>
    </x:row>
    <x:row r="8">
      <x:c r="A8" s="45" t="str">
        <x:v>BiRefNet</x:v>
      </x:c>
      <x:c r="B8" s="219" t="n">
        <x:v>0.0008</x:v>
      </x:c>
      <x:c r="C8" s="45" t="str">
        <x:v>USD / compute second</x:v>
      </x:c>
      <x:c r="D8" s="236" t="n">
        <x:v>46247</x:v>
      </x:c>
      <x:c r="E8" s="153" t="str">
        <x:v>https://fal.ai/models/fal-ai/birefnet</x:v>
      </x:c>
      <x:c r="F8" s="153" t="str">
        <x:v>Observed average successful duration: 0.9565 sec</x:v>
      </x:c>
    </x:row>
    <x:row r="9">
      <x:c r="A9" s="45" t="str">
        <x:v>Recraft vectorization</x:v>
      </x:c>
      <x:c r="B9" s="219" t="n">
        <x:v>0.01</x:v>
      </x:c>
      <x:c r="C9" s="45" t="str">
        <x:v>USD / request</x:v>
      </x:c>
      <x:c r="D9" s="236" t="n">
        <x:v>46247</x:v>
      </x:c>
      <x:c r="E9" s="153" t="str">
        <x:v>https://www.recraft.ai/docs/api-reference/pricing</x:v>
      </x:c>
      <x:c r="F9" s="153" t="str">
        <x:v>Used after Logo/Garment and full Universal</x:v>
      </x:c>
    </x:row>
    <x:row r="10">
      <x:c r="A10" t="str">
        <x:v>Active user credits</x:v>
      </x:c>
      <x:c r="B10" s="200" t="n">
        <x:v>8506</x:v>
      </x:c>
      <x:c r="C10" t="str">
        <x:v>Syncraft credits</x:v>
      </x:c>
      <x:c r="D10" s="237" t="n">
        <x:v>46250.62538142361</x:v>
      </x:c>
      <x:c r="E10" s="238" t="str">
        <x:v>Syncraft live profiles audit</x:v>
      </x:c>
      <x:c r="F10" s="238" t="str">
        <x:v>90 profiles with positive balances; 2453 profiles checked</x:v>
      </x:c>
    </x:row>
    <x:row r="11">
      <x:c r="A11" t="str">
        <x:v>Recent service mix</x:v>
      </x:c>
      <x:c r="B11" s="200" t="n">
        <x:v>1326</x:v>
      </x:c>
      <x:c r="C11" t="str">
        <x:v>jobs / 30 days</x:v>
      </x:c>
      <x:c r="D11" s="237" t="n">
        <x:v>46247.429247685184</x:v>
      </x:c>
      <x:c r="E11" s="238" t="str">
        <x:v>Syncraft credit_logs audit</x:v>
      </x:c>
      <x:c r="F11" s="238" t="str">
        <x:v>1,178 trace; 50 universal; 48 upscale; 30 BG; 20 extend</x:v>
      </x:c>
    </x:row>
    <x:row r="12">
      <x:c r="A12" t="str">
        <x:v>Fal request audit</x:v>
      </x:c>
      <x:c r="B12" s="200" t="n">
        <x:v>2640</x:v>
      </x:c>
      <x:c r="C12" t="str">
        <x:v>successful requests / 30 days</x:v>
      </x:c>
      <x:c r="D12" s="237" t="n">
        <x:v>46247.429247685184</x:v>
      </x:c>
      <x:c r="E12" s="238" t="str">
        <x:v>Fal requests API</x:v>
      </x:c>
      <x:c r="F12" s="238" t="str">
        <x:v>1,405 Nano; 1,171 ESRGAN; 33 Clarity; 31 BiRefNet</x:v>
      </x:c>
    </x:row>
    <x:row r="13">
      <x:c r="A13" s="238" t="str">
        <x:v>Fal receipt history</x:v>
      </x:c>
      <x:c r="B13" s="238" t="n">
        <x:v>170</x:v>
      </x:c>
      <x:c r="C13" s="238" t="str">
        <x:v>USD purchased</x:v>
      </x:c>
      <x:c r="D13" s="485" t="n">
        <x:v>46248</x:v>
      </x:c>
      <x:c r="E13" s="238" t="str">
        <x:v>https://fal.ai/dashboard/usage-billing/invoices</x:v>
      </x:c>
      <x:c r="F13" s="238" t="str">
        <x:v>10 receipts; current balance $19.15</x:v>
      </x:c>
    </x:row>
    <x:row r="14">
      <x:c r="A14" s="238" t="str">
        <x:v>OpenRouter credit history</x:v>
      </x:c>
      <x:c r="B14" s="238" t="n">
        <x:v>190</x:v>
      </x:c>
      <x:c r="C14" s="238" t="str">
        <x:v>USD purchased</x:v>
      </x:c>
      <x:c r="D14" s="485" t="n">
        <x:v>46248</x:v>
      </x:c>
      <x:c r="E14" s="238" t="str">
        <x:v>https://openrouter.ai/settings/credits</x:v>
      </x:c>
      <x:c r="F14" s="238" t="str">
        <x:v>26 transactions; current balance $0.28</x:v>
      </x:c>
    </x:row>
    <x:row r="15">
      <x:c r="A15" s="238" t="str">
        <x:v>Vercel Pro invoice</x:v>
      </x:c>
      <x:c r="B15" s="238" t="n">
        <x:v>20</x:v>
      </x:c>
      <x:c r="C15" s="238" t="str">
        <x:v>USD paid</x:v>
      </x:c>
      <x:c r="D15" s="485" t="n">
        <x:v>46229</x:v>
      </x:c>
      <x:c r="E15" s="238" t="str">
        <x:v>https://vercel.com/jeighdesign-bits-projects/~/settings/invoices</x:v>
      </x:c>
      <x:c r="F15" s="238" t="str">
        <x:v>One paid Pro invoice; upcoming invoice excluded</x:v>
      </x:c>
    </x:row>
    <x:row r="16">
      <x:c r="A16" s="238" t="str">
        <x:v>ChatGPT Plus / Codex</x:v>
      </x:c>
      <x:c r="B16" s="238" t="n">
        <x:v>1100</x:v>
      </x:c>
      <x:c r="C16" s="238" t="str">
        <x:v>PHP paid</x:v>
      </x:c>
      <x:c r="D16" s="485" t="n">
        <x:v>46234</x:v>
      </x:c>
      <x:c r="E16" s="238" t="str">
        <x:v>https://chatgpt.com/#settings/Subscription</x:v>
      </x:c>
      <x:c r="F16" s="238" t="str">
        <x:v>One paid transaction</x:v>
      </x:c>
    </x:row>
    <x:row r="17">
      <x:c r="A17" s="238" t="str">
        <x:v>Supabase Pro public price</x:v>
      </x:c>
      <x:c r="B17" s="238" t="n">
        <x:v>25</x:v>
      </x:c>
      <x:c r="C17" s="238" t="str">
        <x:v>USD / month estimate</x:v>
      </x:c>
      <x:c r="D17" s="485" t="n">
        <x:v>46248</x:v>
      </x:c>
      <x:c r="E17" s="238" t="str">
        <x:v>https://supabase.com/pricing</x:v>
      </x:c>
      <x:c r="F17" s="238" t="str">
        <x:v>Different Gmail; exact charge and number of months still need owner confirmation</x:v>
      </x:c>
    </x:row>
    <x:row r="18">
      <x:c r="A18" s="238" t="str">
        <x:v>Recraft API receipt history</x:v>
      </x:c>
      <x:c r="B18" s="238" t="n">
        <x:v>67</x:v>
      </x:c>
      <x:c r="C18" s="238" t="str">
        <x:v>USD purchased / ₱4,281.55 exact paid</x:v>
      </x:c>
      <x:c r="D18" s="485" t="n">
        <x:v>46248</x:v>
      </x:c>
      <x:c r="E18" s="238" t="str">
        <x:v>https://mail.google.com/mail/u/0/#search/recraft</x:v>
      </x:c>
      <x:c r="F18" s="238" t="str">
        <x:v>33 receipts from 2026-05-29 to 2026-08-11; current balance 2,802 API units; Studio plan is Free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9" hidden="0" customWidth="1"/>
    <x:col min="3" max="3" width="28" hidden="0" customWidth="1"/>
    <x:col min="4" max="4" width="29" hidden="0" customWidth="1"/>
    <x:col min="5" max="5" width="28" hidden="0" customWidth="1"/>
  </x:cols>
  <x:sheetData>
    <x:row r="1">
      <x:c r="A1" s="156" t="str">
        <x:v>AUTOMATION SYNC STATE — DO NOT EDIT</x:v>
      </x:c>
      <x:c r="B1" s="156"/>
      <x:c r="C1" s="156"/>
      <x:c r="D1" s="156"/>
      <x:c r="E1" s="156"/>
    </x:row>
    <x:row r="2" ht="35" customHeight="1">
      <x:c r="A2" s="160" t="str">
        <x:v>Baseline created 2026-08-13T18:01:09+08:00. Existing approved payments below are intentionally not added to Payment Tracker. New IDs will be appended automatically.</x:v>
      </x:c>
      <x:c r="B2" s="160"/>
      <x:c r="C2" s="160"/>
      <x:c r="D2" s="160"/>
      <x:c r="E2" s="160"/>
    </x:row>
    <x:row r="4">
      <x:c r="A4" s="163" t="str">
        <x:v>Provider</x:v>
      </x:c>
      <x:c r="B4" s="163" t="str">
        <x:v>Payment ID</x:v>
      </x:c>
      <x:c r="C4" s="163" t="str">
        <x:v>Reference</x:v>
      </x:c>
      <x:c r="D4" s="163" t="str">
        <x:v>Tracking Status</x:v>
      </x:c>
      <x:c r="E4" s="163" t="str">
        <x:v>Recorded At</x:v>
      </x:c>
    </x:row>
    <x:row r="5">
      <x:c r="A5" s="253" t="str">
        <x:v>GCash</x:v>
      </x:c>
      <x:c r="B5" s="254" t="str">
        <x:v>f3825673-0b31-4ec7-9709-c2b59dfb2594</x:v>
      </x:c>
      <x:c r="C5" s="254" t="str">
        <x:v>​09976420849</x:v>
      </x:c>
      <x:c r="D5" s="253" t="str">
        <x:v>Baseline — already approved</x:v>
      </x:c>
      <x:c r="E5" s="262" t="n">
        <x:v>46247.41746527778</x:v>
      </x:c>
    </x:row>
    <x:row r="6">
      <x:c r="A6" s="256" t="str">
        <x:v>GCash</x:v>
      </x:c>
      <x:c r="B6" s="257" t="str">
        <x:v>ec10996c-15ad-4bf2-81b6-d41417526aba</x:v>
      </x:c>
      <x:c r="C6" s="257" t="str">
        <x:v>​09761846436</x:v>
      </x:c>
      <x:c r="D6" s="256" t="str">
        <x:v>Baseline — already approved</x:v>
      </x:c>
      <x:c r="E6" s="263" t="n">
        <x:v>46247.41746527778</x:v>
      </x:c>
    </x:row>
    <x:row r="7">
      <x:c r="A7" s="256" t="str">
        <x:v>GCash</x:v>
      </x:c>
      <x:c r="B7" s="257" t="str">
        <x:v>d6dd678c-5ab5-48eb-8074-cbcd0611130b</x:v>
      </x:c>
      <x:c r="C7" s="257" t="str">
        <x:v>​9776703585</x:v>
      </x:c>
      <x:c r="D7" s="256" t="str">
        <x:v>Baseline — already approved</x:v>
      </x:c>
      <x:c r="E7" s="263" t="n">
        <x:v>46247.41746527778</x:v>
      </x:c>
    </x:row>
    <x:row r="8">
      <x:c r="A8" s="256" t="str">
        <x:v>GCash</x:v>
      </x:c>
      <x:c r="B8" s="257" t="str">
        <x:v>0d684fad-8b62-4efc-8e9c-259cbdb60742</x:v>
      </x:c>
      <x:c r="C8" s="257" t="str">
        <x:v>​09926266665</x:v>
      </x:c>
      <x:c r="D8" s="256" t="str">
        <x:v>Baseline — already approved</x:v>
      </x:c>
      <x:c r="E8" s="263" t="n">
        <x:v>46247.41746527778</x:v>
      </x:c>
    </x:row>
    <x:row r="9">
      <x:c r="A9" s="256" t="str">
        <x:v>GCash</x:v>
      </x:c>
      <x:c r="B9" s="257" t="str">
        <x:v>576c8b49-ef1c-4f5f-8c18-75cf3e261a46</x:v>
      </x:c>
      <x:c r="C9" s="257" t="str">
        <x:v>​123123</x:v>
      </x:c>
      <x:c r="D9" s="256" t="str">
        <x:v>Baseline — already approved</x:v>
      </x:c>
      <x:c r="E9" s="263" t="n">
        <x:v>46247.41746527778</x:v>
      </x:c>
    </x:row>
    <x:row r="10">
      <x:c r="A10" s="256" t="str">
        <x:v>GCash</x:v>
      </x:c>
      <x:c r="B10" s="257" t="str">
        <x:v>eb60a06a-39b6-4161-bb09-8cd59251917c</x:v>
      </x:c>
      <x:c r="C10" s="257" t="str">
        <x:v>​090904234</x:v>
      </x:c>
      <x:c r="D10" s="256" t="str">
        <x:v>Baseline — already approved</x:v>
      </x:c>
      <x:c r="E10" s="263" t="n">
        <x:v>46247.41746527778</x:v>
      </x:c>
    </x:row>
    <x:row r="11">
      <x:c r="A11" s="256" t="str">
        <x:v>GCash</x:v>
      </x:c>
      <x:c r="B11" s="257" t="str">
        <x:v>507bd96e-7559-49ab-b70b-f3706d829887</x:v>
      </x:c>
      <x:c r="C11" s="257" t="str">
        <x:v>0908414upatka4</x:v>
      </x:c>
      <x:c r="D11" s="256" t="str">
        <x:v>Baseline — already approved</x:v>
      </x:c>
      <x:c r="E11" s="263" t="n">
        <x:v>46247.41746527778</x:v>
      </x:c>
    </x:row>
    <x:row r="12">
      <x:c r="A12" s="256" t="str">
        <x:v>GCash</x:v>
      </x:c>
      <x:c r="B12" s="257" t="str">
        <x:v>d007441d-6f35-4fd7-9fef-83aa34c3f62c</x:v>
      </x:c>
      <x:c r="C12" s="257" t="str">
        <x:v>​09109318643</x:v>
      </x:c>
      <x:c r="D12" s="256" t="str">
        <x:v>Baseline — already approved</x:v>
      </x:c>
      <x:c r="E12" s="263" t="n">
        <x:v>46247.41746527778</x:v>
      </x:c>
    </x:row>
    <x:row r="13">
      <x:c r="A13" s="256" t="str">
        <x:v>GCash</x:v>
      </x:c>
      <x:c r="B13" s="257" t="str">
        <x:v>084b464e-c43a-4b7d-9b20-0d8b7b279f79</x:v>
      </x:c>
      <x:c r="C13" s="257" t="str">
        <x:v>​676756756</x:v>
      </x:c>
      <x:c r="D13" s="256" t="str">
        <x:v>Baseline — already approved</x:v>
      </x:c>
      <x:c r="E13" s="263" t="n">
        <x:v>46247.41746527778</x:v>
      </x:c>
    </x:row>
    <x:row r="14">
      <x:c r="A14" s="256" t="str">
        <x:v>GCash</x:v>
      </x:c>
      <x:c r="B14" s="257" t="str">
        <x:v>31d8e508-62a1-4e9c-ba57-d30712e0c437</x:v>
      </x:c>
      <x:c r="C14" s="257" t="str">
        <x:v>​67676767</x:v>
      </x:c>
      <x:c r="D14" s="256" t="str">
        <x:v>Baseline — already approved</x:v>
      </x:c>
      <x:c r="E14" s="263" t="n">
        <x:v>46247.41746527778</x:v>
      </x:c>
    </x:row>
    <x:row r="15">
      <x:c r="A15" s="256" t="str">
        <x:v>GCash</x:v>
      </x:c>
      <x:c r="B15" s="257" t="str">
        <x:v>639404de-4d5f-4ef9-b6a0-73b416e42ae1</x:v>
      </x:c>
      <x:c r="C15" s="257" t="str">
        <x:v>​09065527410</x:v>
      </x:c>
      <x:c r="D15" s="256" t="str">
        <x:v>Baseline — already approved</x:v>
      </x:c>
      <x:c r="E15" s="263" t="n">
        <x:v>46247.41746527778</x:v>
      </x:c>
    </x:row>
    <x:row r="16">
      <x:c r="A16" s="256" t="str">
        <x:v>GCash</x:v>
      </x:c>
      <x:c r="B16" s="257" t="str">
        <x:v>00981b21-30b0-4537-980a-15701025c4a7</x:v>
      </x:c>
      <x:c r="C16" s="257" t="str">
        <x:v>​09505882663</x:v>
      </x:c>
      <x:c r="D16" s="256" t="str">
        <x:v>Baseline — already approved</x:v>
      </x:c>
      <x:c r="E16" s="263" t="n">
        <x:v>46247.41746527778</x:v>
      </x:c>
    </x:row>
    <x:row r="17">
      <x:c r="A17" s="256" t="str">
        <x:v>GCash</x:v>
      </x:c>
      <x:c r="B17" s="257" t="str">
        <x:v>05f96293-0e36-4388-817d-65eed356bd9c</x:v>
      </x:c>
      <x:c r="C17" s="257" t="str">
        <x:v>​012961007287</x:v>
      </x:c>
      <x:c r="D17" s="256" t="str">
        <x:v>Baseline — already approved</x:v>
      </x:c>
      <x:c r="E17" s="263" t="n">
        <x:v>46247.41746527778</x:v>
      </x:c>
    </x:row>
    <x:row r="18">
      <x:c r="A18" s="256" t="str">
        <x:v>GCash</x:v>
      </x:c>
      <x:c r="B18" s="257" t="str">
        <x:v>a3e2a86d-9529-4513-8845-ee139c05d4ee</x:v>
      </x:c>
      <x:c r="C18" s="257" t="str">
        <x:v>09850106834jmn.</x:v>
      </x:c>
      <x:c r="D18" s="256" t="str">
        <x:v>Baseline — already approved</x:v>
      </x:c>
      <x:c r="E18" s="263" t="n">
        <x:v>46247.41746527778</x:v>
      </x:c>
    </x:row>
    <x:row r="19">
      <x:c r="A19" s="256" t="str">
        <x:v>GCash</x:v>
      </x:c>
      <x:c r="B19" s="257" t="str">
        <x:v>f1d1f352-b42c-4f46-b4ce-b5e827c2b9fc</x:v>
      </x:c>
      <x:c r="C19" s="257" t="str">
        <x:v>​09468499302</x:v>
      </x:c>
      <x:c r="D19" s="256" t="str">
        <x:v>Baseline — already approved</x:v>
      </x:c>
      <x:c r="E19" s="263" t="n">
        <x:v>46247.41746527778</x:v>
      </x:c>
    </x:row>
    <x:row r="20">
      <x:c r="A20" s="256" t="str">
        <x:v>GCash</x:v>
      </x:c>
      <x:c r="B20" s="257" t="str">
        <x:v>5745e25b-23d8-4328-a7cf-8e314825952d</x:v>
      </x:c>
      <x:c r="C20" s="257" t="str">
        <x:v>​09636017886</x:v>
      </x:c>
      <x:c r="D20" s="256" t="str">
        <x:v>Baseline — already approved</x:v>
      </x:c>
      <x:c r="E20" s="263" t="n">
        <x:v>46247.41746527778</x:v>
      </x:c>
    </x:row>
    <x:row r="21">
      <x:c r="A21" s="256" t="str">
        <x:v>GCash</x:v>
      </x:c>
      <x:c r="B21" s="257" t="str">
        <x:v>8529d817-024c-4ae3-a280-053fe453df41</x:v>
      </x:c>
      <x:c r="C21" s="257" t="str">
        <x:v>​09338191854</x:v>
      </x:c>
      <x:c r="D21" s="256" t="str">
        <x:v>Baseline — already approved</x:v>
      </x:c>
      <x:c r="E21" s="263" t="n">
        <x:v>46247.41746527778</x:v>
      </x:c>
    </x:row>
    <x:row r="22">
      <x:c r="A22" s="256" t="str">
        <x:v>GCash</x:v>
      </x:c>
      <x:c r="B22" s="257" t="str">
        <x:v>91f601ca-f08b-4a90-b649-b1a88db5c1df</x:v>
      </x:c>
      <x:c r="C22" s="257" t="str">
        <x:v>​09926266665</x:v>
      </x:c>
      <x:c r="D22" s="256" t="str">
        <x:v>Baseline — already approved</x:v>
      </x:c>
      <x:c r="E22" s="263" t="n">
        <x:v>46247.41746527778</x:v>
      </x:c>
    </x:row>
    <x:row r="23">
      <x:c r="A23" s="256" t="str">
        <x:v>GCash</x:v>
      </x:c>
      <x:c r="B23" s="257" t="str">
        <x:v>e65214d7-4f20-46f8-9f1a-e5bc674cd248</x:v>
      </x:c>
      <x:c r="C23" s="257" t="str">
        <x:v>​737474773773</x:v>
      </x:c>
      <x:c r="D23" s="256" t="str">
        <x:v>Baseline — already approved</x:v>
      </x:c>
      <x:c r="E23" s="263" t="n">
        <x:v>46247.41746527778</x:v>
      </x:c>
    </x:row>
    <x:row r="24">
      <x:c r="A24" s="256" t="str">
        <x:v>GCash</x:v>
      </x:c>
      <x:c r="B24" s="257" t="str">
        <x:v>6e6bc1bc-def7-4771-b354-65ad742849c5</x:v>
      </x:c>
      <x:c r="C24" s="257" t="str">
        <x:v>​09636017886</x:v>
      </x:c>
      <x:c r="D24" s="256" t="str">
        <x:v>Baseline — already approved</x:v>
      </x:c>
      <x:c r="E24" s="263" t="n">
        <x:v>46247.41746527778</x:v>
      </x:c>
    </x:row>
    <x:row r="25">
      <x:c r="A25" s="256" t="str">
        <x:v>GCash</x:v>
      </x:c>
      <x:c r="B25" s="257" t="str">
        <x:v>a0dced3d-8def-4004-87b1-f95a7a6857fe</x:v>
      </x:c>
      <x:c r="C25" s="257" t="str">
        <x:v>​09625047541</x:v>
      </x:c>
      <x:c r="D25" s="256" t="str">
        <x:v>Baseline — already approved</x:v>
      </x:c>
      <x:c r="E25" s="263" t="n">
        <x:v>46247.41746527778</x:v>
      </x:c>
    </x:row>
    <x:row r="26">
      <x:c r="A26" s="256" t="str">
        <x:v>GCash</x:v>
      </x:c>
      <x:c r="B26" s="257" t="str">
        <x:v>e416b8fa-98bd-4345-bec5-b7cf9f63a994</x:v>
      </x:c>
      <x:c r="C26" s="257" t="str">
        <x:v>​09955711668</x:v>
      </x:c>
      <x:c r="D26" s="256" t="str">
        <x:v>Baseline — already approved</x:v>
      </x:c>
      <x:c r="E26" s="263" t="n">
        <x:v>46247.41746527778</x:v>
      </x:c>
    </x:row>
    <x:row r="27">
      <x:c r="A27" s="256" t="str">
        <x:v>GCash</x:v>
      </x:c>
      <x:c r="B27" s="257" t="str">
        <x:v>6e704da4-1d4e-43ab-8d86-290d61b845e5</x:v>
      </x:c>
      <x:c r="C27" s="257" t="str">
        <x:v>​09989017134</x:v>
      </x:c>
      <x:c r="D27" s="256" t="str">
        <x:v>Baseline — already approved</x:v>
      </x:c>
      <x:c r="E27" s="263" t="n">
        <x:v>46247.41746527778</x:v>
      </x:c>
    </x:row>
    <x:row r="28">
      <x:c r="A28" s="256" t="str">
        <x:v>GCash</x:v>
      </x:c>
      <x:c r="B28" s="257" t="str">
        <x:v>6ada7fd8-9027-4903-982b-3b3443a08e87</x:v>
      </x:c>
      <x:c r="C28" s="257" t="str">
        <x:v>​09776703585</x:v>
      </x:c>
      <x:c r="D28" s="256" t="str">
        <x:v>Baseline — already approved</x:v>
      </x:c>
      <x:c r="E28" s="263" t="n">
        <x:v>46247.41746527778</x:v>
      </x:c>
    </x:row>
    <x:row r="29">
      <x:c r="A29" s="256" t="str">
        <x:v>GCash</x:v>
      </x:c>
      <x:c r="B29" s="257" t="str">
        <x:v>75a276fd-b731-4cc3-b314-3e198811f63d</x:v>
      </x:c>
      <x:c r="C29" s="257" t="str">
        <x:v>​837474774</x:v>
      </x:c>
      <x:c r="D29" s="256" t="str">
        <x:v>Baseline — already approved</x:v>
      </x:c>
      <x:c r="E29" s="263" t="n">
        <x:v>46247.41746527778</x:v>
      </x:c>
    </x:row>
    <x:row r="30">
      <x:c r="A30" s="256" t="str">
        <x:v>GCash</x:v>
      </x:c>
      <x:c r="B30" s="257" t="str">
        <x:v>fb12a4dd-6423-4773-bdc7-1ec6a07cbcea</x:v>
      </x:c>
      <x:c r="C30" s="257" t="str">
        <x:v>​67587867</x:v>
      </x:c>
      <x:c r="D30" s="256" t="str">
        <x:v>Baseline — already approved</x:v>
      </x:c>
      <x:c r="E30" s="263" t="n">
        <x:v>46247.41746527778</x:v>
      </x:c>
    </x:row>
    <x:row r="31">
      <x:c r="A31" s="256" t="str">
        <x:v>GCash</x:v>
      </x:c>
      <x:c r="B31" s="257" t="str">
        <x:v>50fe0478-6698-4d42-8b84-1ce6b18b9ae8</x:v>
      </x:c>
      <x:c r="C31" s="257" t="str">
        <x:v>​68678798</x:v>
      </x:c>
      <x:c r="D31" s="256" t="str">
        <x:v>Baseline — already approved</x:v>
      </x:c>
      <x:c r="E31" s="263" t="n">
        <x:v>46247.41746527778</x:v>
      </x:c>
    </x:row>
    <x:row r="32">
      <x:c r="A32" s="256" t="str">
        <x:v>GCash</x:v>
      </x:c>
      <x:c r="B32" s="257" t="str">
        <x:v>b50adaff-e3d2-42b4-9fa3-b07dfed8765b</x:v>
      </x:c>
      <x:c r="C32" s="257" t="str">
        <x:v>​09951855059</x:v>
      </x:c>
      <x:c r="D32" s="256" t="str">
        <x:v>Baseline — already approved</x:v>
      </x:c>
      <x:c r="E32" s="263" t="n">
        <x:v>46247.41746527778</x:v>
      </x:c>
    </x:row>
    <x:row r="33">
      <x:c r="A33" s="256" t="str">
        <x:v>GCash</x:v>
      </x:c>
      <x:c r="B33" s="257" t="str">
        <x:v>e1d4abed-02b5-41c4-8ac4-3bc7f40c5c6b</x:v>
      </x:c>
      <x:c r="C33" s="257" t="str">
        <x:v>​09773308924</x:v>
      </x:c>
      <x:c r="D33" s="256" t="str">
        <x:v>Baseline — already approved</x:v>
      </x:c>
      <x:c r="E33" s="263" t="n">
        <x:v>46247.41746527778</x:v>
      </x:c>
    </x:row>
    <x:row r="34">
      <x:c r="A34" s="256" t="str">
        <x:v>GCash</x:v>
      </x:c>
      <x:c r="B34" s="257" t="str">
        <x:v>0f33fe0e-c71c-4cb0-95fc-9a43ac2e5c5d</x:v>
      </x:c>
      <x:c r="C34" s="257" t="str">
        <x:v>​7876867876</x:v>
      </x:c>
      <x:c r="D34" s="256" t="str">
        <x:v>Baseline — already approved</x:v>
      </x:c>
      <x:c r="E34" s="263" t="n">
        <x:v>46247.41746527778</x:v>
      </x:c>
    </x:row>
    <x:row r="35">
      <x:c r="A35" s="256" t="str">
        <x:v>GCash</x:v>
      </x:c>
      <x:c r="B35" s="257" t="str">
        <x:v>af624486-a5c5-42a8-a9a5-31f1354ab5ae</x:v>
      </x:c>
      <x:c r="C35" s="257" t="str">
        <x:v>​09659080786</x:v>
      </x:c>
      <x:c r="D35" s="256" t="str">
        <x:v>Baseline — already approved</x:v>
      </x:c>
      <x:c r="E35" s="263" t="n">
        <x:v>46247.41746527778</x:v>
      </x:c>
    </x:row>
    <x:row r="36">
      <x:c r="A36" s="256" t="str">
        <x:v>GCash</x:v>
      </x:c>
      <x:c r="B36" s="257" t="str">
        <x:v>b3a2c732-8330-4220-9bb1-14f1432f1328</x:v>
      </x:c>
      <x:c r="C36" s="257" t="str">
        <x:v>​09923187737</x:v>
      </x:c>
      <x:c r="D36" s="256" t="str">
        <x:v>Baseline — already approved</x:v>
      </x:c>
      <x:c r="E36" s="263" t="n">
        <x:v>46247.41746527778</x:v>
      </x:c>
    </x:row>
    <x:row r="37">
      <x:c r="A37" s="256" t="str">
        <x:v>GCash</x:v>
      </x:c>
      <x:c r="B37" s="257" t="str">
        <x:v>28d6afa3-dd50-445d-8867-1b659ec0c8ad</x:v>
      </x:c>
      <x:c r="C37" s="257" t="str">
        <x:v>​09565526611</x:v>
      </x:c>
      <x:c r="D37" s="256" t="str">
        <x:v>Baseline — already approved</x:v>
      </x:c>
      <x:c r="E37" s="263" t="n">
        <x:v>46247.41746527778</x:v>
      </x:c>
    </x:row>
    <x:row r="38">
      <x:c r="A38" s="256" t="str">
        <x:v>GCash</x:v>
      </x:c>
      <x:c r="B38" s="257" t="str">
        <x:v>41b5cd57-c641-4da0-9a14-3b23a8260c34</x:v>
      </x:c>
      <x:c r="C38" s="257" t="str">
        <x:v>​09514685362</x:v>
      </x:c>
      <x:c r="D38" s="256" t="str">
        <x:v>Baseline — already approved</x:v>
      </x:c>
      <x:c r="E38" s="263" t="n">
        <x:v>46247.41746527778</x:v>
      </x:c>
    </x:row>
    <x:row r="39">
      <x:c r="A39" s="256" t="str">
        <x:v>GCash</x:v>
      </x:c>
      <x:c r="B39" s="257" t="str">
        <x:v>c909eb0d-05ae-4937-bbb6-5a68d7aa2f10</x:v>
      </x:c>
      <x:c r="C39" s="257" t="str">
        <x:v>​09692231625</x:v>
      </x:c>
      <x:c r="D39" s="256" t="str">
        <x:v>Baseline — already approved</x:v>
      </x:c>
      <x:c r="E39" s="263" t="n">
        <x:v>46247.41746527778</x:v>
      </x:c>
    </x:row>
    <x:row r="40">
      <x:c r="A40" s="256" t="str">
        <x:v>GCash</x:v>
      </x:c>
      <x:c r="B40" s="257" t="str">
        <x:v>41d14856-4b70-484b-815d-1ca64d915cbd</x:v>
      </x:c>
      <x:c r="C40" s="257" t="str">
        <x:v>​9043148540614</x:v>
      </x:c>
      <x:c r="D40" s="256" t="str">
        <x:v>Baseline — already approved</x:v>
      </x:c>
      <x:c r="E40" s="263" t="n">
        <x:v>46247.41746527778</x:v>
      </x:c>
    </x:row>
    <x:row r="41">
      <x:c r="A41" s="256" t="str">
        <x:v>GCash</x:v>
      </x:c>
      <x:c r="B41" s="257" t="str">
        <x:v>3b5f77a0-3f7a-48e4-a487-e9d7fd5c23e6</x:v>
      </x:c>
      <x:c r="C41" s="257" t="str">
        <x:v>​4043149556706</x:v>
      </x:c>
      <x:c r="D41" s="256" t="str">
        <x:v>Baseline — already approved</x:v>
      </x:c>
      <x:c r="E41" s="263" t="n">
        <x:v>46247.41746527778</x:v>
      </x:c>
    </x:row>
    <x:row r="42">
      <x:c r="A42" s="256" t="str">
        <x:v>GCash</x:v>
      </x:c>
      <x:c r="B42" s="257" t="str">
        <x:v>f9f2d570-2ab5-4272-b534-4a069d24cf01</x:v>
      </x:c>
      <x:c r="C42" s="257" t="str">
        <x:v>​513103</x:v>
      </x:c>
      <x:c r="D42" s="256" t="str">
        <x:v>Baseline — already approved</x:v>
      </x:c>
      <x:c r="E42" s="263" t="n">
        <x:v>46247.41746527778</x:v>
      </x:c>
    </x:row>
    <x:row r="43">
      <x:c r="A43" s="256" t="str">
        <x:v>GCash</x:v>
      </x:c>
      <x:c r="B43" s="257" t="str">
        <x:v>7864b3de-dea7-429f-b853-ecfb9d58ab33</x:v>
      </x:c>
      <x:c r="C43" s="257" t="str">
        <x:v>​6043150741691</x:v>
      </x:c>
      <x:c r="D43" s="256" t="str">
        <x:v>Baseline — already approved</x:v>
      </x:c>
      <x:c r="E43" s="263" t="n">
        <x:v>46247.41746527778</x:v>
      </x:c>
    </x:row>
    <x:row r="44">
      <x:c r="A44" s="256" t="str">
        <x:v>GCash</x:v>
      </x:c>
      <x:c r="B44" s="257" t="str">
        <x:v>1e6135d2-e8d8-455e-b3a0-0d9725a0ddcf</x:v>
      </x:c>
      <x:c r="C44" s="257" t="str">
        <x:v>​0043151189801</x:v>
      </x:c>
      <x:c r="D44" s="256" t="str">
        <x:v>Baseline — already approved</x:v>
      </x:c>
      <x:c r="E44" s="263" t="n">
        <x:v>46247.41746527778</x:v>
      </x:c>
    </x:row>
    <x:row r="45">
      <x:c r="A45" s="256" t="str">
        <x:v>GCash</x:v>
      </x:c>
      <x:c r="B45" s="257" t="str">
        <x:v>f1336f5e-a67c-4dcc-8d5e-f2f15c4db9a3</x:v>
      </x:c>
      <x:c r="C45" s="257" t="str">
        <x:v>​09175011713</x:v>
      </x:c>
      <x:c r="D45" s="256" t="str">
        <x:v>Baseline — already approved</x:v>
      </x:c>
      <x:c r="E45" s="263" t="n">
        <x:v>46247.41746527778</x:v>
      </x:c>
    </x:row>
    <x:row r="46">
      <x:c r="A46" s="256" t="str">
        <x:v>GCash</x:v>
      </x:c>
      <x:c r="B46" s="257" t="str">
        <x:v>c48cb48c-de57-4c87-b471-c5a6a625b7de</x:v>
      </x:c>
      <x:c r="C46" s="257" t="str">
        <x:v>​8043160030448</x:v>
      </x:c>
      <x:c r="D46" s="256" t="str">
        <x:v>Baseline — already approved</x:v>
      </x:c>
      <x:c r="E46" s="263" t="n">
        <x:v>46247.41746527778</x:v>
      </x:c>
    </x:row>
    <x:row r="47">
      <x:c r="A47" s="256" t="str">
        <x:v>GCash</x:v>
      </x:c>
      <x:c r="B47" s="257" t="str">
        <x:v>a6def78d-1f10-4d30-8129-41329787f938</x:v>
      </x:c>
      <x:c r="C47" s="257" t="str">
        <x:v>​9043162315214</x:v>
      </x:c>
      <x:c r="D47" s="256" t="str">
        <x:v>Baseline — already approved</x:v>
      </x:c>
      <x:c r="E47" s="263" t="n">
        <x:v>46247.41746527778</x:v>
      </x:c>
    </x:row>
    <x:row r="48">
      <x:c r="A48" s="256" t="str">
        <x:v>GCash</x:v>
      </x:c>
      <x:c r="B48" s="257" t="str">
        <x:v>19097fb9-51f4-4bc6-8948-a424571cafff</x:v>
      </x:c>
      <x:c r="C48" s="257" t="str">
        <x:v>​6043181058973</x:v>
      </x:c>
      <x:c r="D48" s="256" t="str">
        <x:v>Baseline — already approved</x:v>
      </x:c>
      <x:c r="E48" s="263" t="n">
        <x:v>46247.41746527778</x:v>
      </x:c>
    </x:row>
    <x:row r="49">
      <x:c r="A49" s="256" t="str">
        <x:v>GCash</x:v>
      </x:c>
      <x:c r="B49" s="257" t="str">
        <x:v>c066d052-a4f1-4660-8d12-b99da11218db</x:v>
      </x:c>
      <x:c r="C49" s="257" t="str">
        <x:v>​8043180860766</x:v>
      </x:c>
      <x:c r="D49" s="256" t="str">
        <x:v>Baseline — already approved</x:v>
      </x:c>
      <x:c r="E49" s="263" t="n">
        <x:v>46247.41746527778</x:v>
      </x:c>
    </x:row>
    <x:row r="50">
      <x:c r="A50" s="256" t="str">
        <x:v>GCash</x:v>
      </x:c>
      <x:c r="B50" s="257" t="str">
        <x:v>784b9201-6e68-494a-a85d-f1af398c01e4</x:v>
      </x:c>
      <x:c r="C50" s="257" t="str">
        <x:v>​4043182561776</x:v>
      </x:c>
      <x:c r="D50" s="256" t="str">
        <x:v>Baseline — already approved</x:v>
      </x:c>
      <x:c r="E50" s="263" t="n">
        <x:v>46247.41746527778</x:v>
      </x:c>
    </x:row>
    <x:row r="51">
      <x:c r="A51" s="256" t="str">
        <x:v>GCash</x:v>
      </x:c>
      <x:c r="B51" s="257" t="str">
        <x:v>e2bbcfc2-ef88-418f-8997-f34543ef7193</x:v>
      </x:c>
      <x:c r="C51" s="257" t="str">
        <x:v>​2043187366747</x:v>
      </x:c>
      <x:c r="D51" s="256" t="str">
        <x:v>Baseline — already approved</x:v>
      </x:c>
      <x:c r="E51" s="263" t="n">
        <x:v>46247.41746527778</x:v>
      </x:c>
    </x:row>
    <x:row r="52">
      <x:c r="A52" s="256" t="str">
        <x:v>GCash</x:v>
      </x:c>
      <x:c r="B52" s="257" t="str">
        <x:v>5a1950d4-6b57-4437-b53d-dc15fd4c66ec</x:v>
      </x:c>
      <x:c r="C52" s="257" t="str">
        <x:v>​4043187929857</x:v>
      </x:c>
      <x:c r="D52" s="256" t="str">
        <x:v>Baseline — already approved</x:v>
      </x:c>
      <x:c r="E52" s="263" t="n">
        <x:v>46247.41746527778</x:v>
      </x:c>
    </x:row>
    <x:row r="53">
      <x:c r="A53" s="256" t="str">
        <x:v>GCash</x:v>
      </x:c>
      <x:c r="B53" s="257" t="str">
        <x:v>d79c5b23-990e-4969-bdbb-fbfc4ec92379</x:v>
      </x:c>
      <x:c r="C53" s="257" t="str">
        <x:v>​2043188236958</x:v>
      </x:c>
      <x:c r="D53" s="256" t="str">
        <x:v>Baseline — already approved</x:v>
      </x:c>
      <x:c r="E53" s="263" t="n">
        <x:v>46247.41746527778</x:v>
      </x:c>
    </x:row>
    <x:row r="54">
      <x:c r="A54" s="256" t="str">
        <x:v>GCash</x:v>
      </x:c>
      <x:c r="B54" s="257" t="str">
        <x:v>b3b3ed14-067f-4722-a7a0-80dd3c6dd5a7</x:v>
      </x:c>
      <x:c r="C54" s="257" t="str">
        <x:v>SentviaFBMsg</x:v>
      </x:c>
      <x:c r="D54" s="256" t="str">
        <x:v>Baseline — already approved</x:v>
      </x:c>
      <x:c r="E54" s="263" t="n">
        <x:v>46247.41746527778</x:v>
      </x:c>
    </x:row>
    <x:row r="55">
      <x:c r="A55" s="256" t="str">
        <x:v>GCash</x:v>
      </x:c>
      <x:c r="B55" s="257" t="str">
        <x:v>7ecee094-828b-4439-8001-2c18a0e15451</x:v>
      </x:c>
      <x:c r="C55" s="257" t="str">
        <x:v>​0043191381300</x:v>
      </x:c>
      <x:c r="D55" s="256" t="str">
        <x:v>Baseline — already approved</x:v>
      </x:c>
      <x:c r="E55" s="263" t="n">
        <x:v>46247.41746527778</x:v>
      </x:c>
    </x:row>
    <x:row r="56">
      <x:c r="A56" s="256" t="str">
        <x:v>GCash</x:v>
      </x:c>
      <x:c r="B56" s="257" t="str">
        <x:v>2e7f9112-5fce-413a-bd9e-1642226ccf56</x:v>
      </x:c>
      <x:c r="C56" s="257" t="str">
        <x:v>​410354</x:v>
      </x:c>
      <x:c r="D56" s="256" t="str">
        <x:v>Baseline — already approved</x:v>
      </x:c>
      <x:c r="E56" s="263" t="n">
        <x:v>46247.41746527778</x:v>
      </x:c>
    </x:row>
    <x:row r="57">
      <x:c r="A57" s="256" t="str">
        <x:v>GCash</x:v>
      </x:c>
      <x:c r="B57" s="257" t="str">
        <x:v>42df719f-f592-4b3a-b34d-8b10ccbaea4c</x:v>
      </x:c>
      <x:c r="C57" s="257" t="str">
        <x:v>​3043190596491</x:v>
      </x:c>
      <x:c r="D57" s="256" t="str">
        <x:v>Baseline — already approved</x:v>
      </x:c>
      <x:c r="E57" s="263" t="n">
        <x:v>46247.41746527778</x:v>
      </x:c>
    </x:row>
    <x:row r="58">
      <x:c r="A58" s="256" t="str">
        <x:v>GCash</x:v>
      </x:c>
      <x:c r="B58" s="257" t="str">
        <x:v>22611564-bea7-4b56-bede-f6151798e9f3</x:v>
      </x:c>
      <x:c r="C58" s="257" t="str">
        <x:v>​1043191764394</x:v>
      </x:c>
      <x:c r="D58" s="256" t="str">
        <x:v>Baseline — already approved</x:v>
      </x:c>
      <x:c r="E58" s="263" t="n">
        <x:v>46247.41746527778</x:v>
      </x:c>
    </x:row>
    <x:row r="59">
      <x:c r="A59" s="256" t="str">
        <x:v>GCash</x:v>
      </x:c>
      <x:c r="B59" s="257" t="str">
        <x:v>e620cd55-b2b1-4d2c-bb83-41d48464fcd5</x:v>
      </x:c>
      <x:c r="C59" s="257" t="str">
        <x:v>​5043196540403</x:v>
      </x:c>
      <x:c r="D59" s="256" t="str">
        <x:v>Baseline — already approved</x:v>
      </x:c>
      <x:c r="E59" s="263" t="n">
        <x:v>46247.41746527778</x:v>
      </x:c>
    </x:row>
    <x:row r="60">
      <x:c r="A60" s="256" t="str">
        <x:v>GCash</x:v>
      </x:c>
      <x:c r="B60" s="257" t="str">
        <x:v>bf7d4b1f-b4bc-4434-8a0e-21ead295187e</x:v>
      </x:c>
      <x:c r="C60" s="257" t="str">
        <x:v>​5043205059228</x:v>
      </x:c>
      <x:c r="D60" s="256" t="str">
        <x:v>Baseline — already approved</x:v>
      </x:c>
      <x:c r="E60" s="263" t="n">
        <x:v>46247.41746527778</x:v>
      </x:c>
    </x:row>
    <x:row r="61">
      <x:c r="A61" s="256" t="str">
        <x:v>GCash</x:v>
      </x:c>
      <x:c r="B61" s="257" t="str">
        <x:v>d4a6e61f-174a-4b24-9adb-bfa062de5125</x:v>
      </x:c>
      <x:c r="C61" s="257" t="str">
        <x:v>​9043205659408</x:v>
      </x:c>
      <x:c r="D61" s="256" t="str">
        <x:v>Baseline — already approved</x:v>
      </x:c>
      <x:c r="E61" s="263" t="n">
        <x:v>46247.41746527778</x:v>
      </x:c>
    </x:row>
    <x:row r="62">
      <x:c r="A62" s="256" t="str">
        <x:v>GCash</x:v>
      </x:c>
      <x:c r="B62" s="257" t="str">
        <x:v>2a0b9b10-1cba-4983-bd19-2ca170853428</x:v>
      </x:c>
      <x:c r="C62" s="257" t="str">
        <x:v>​0043212462306</x:v>
      </x:c>
      <x:c r="D62" s="256" t="str">
        <x:v>Baseline — already approved</x:v>
      </x:c>
      <x:c r="E62" s="263" t="n">
        <x:v>46247.41746527778</x:v>
      </x:c>
    </x:row>
    <x:row r="63">
      <x:c r="A63" s="256" t="str">
        <x:v>GCash</x:v>
      </x:c>
      <x:c r="B63" s="257" t="str">
        <x:v>feab28e0-df40-4b47-960b-82947782f745</x:v>
      </x:c>
      <x:c r="C63" s="257" t="str">
        <x:v>​3043213210789</x:v>
      </x:c>
      <x:c r="D63" s="256" t="str">
        <x:v>Baseline — already approved</x:v>
      </x:c>
      <x:c r="E63" s="263" t="n">
        <x:v>46247.41746527778</x:v>
      </x:c>
    </x:row>
    <x:row r="64">
      <x:c r="A64" s="256" t="str">
        <x:v>GCash</x:v>
      </x:c>
      <x:c r="B64" s="257" t="str">
        <x:v>19141039-7701-4366-8e8b-af546227919a</x:v>
      </x:c>
      <x:c r="C64" s="257" t="str">
        <x:v>​1043214110538</x:v>
      </x:c>
      <x:c r="D64" s="256" t="str">
        <x:v>Baseline — already approved</x:v>
      </x:c>
      <x:c r="E64" s="263" t="n">
        <x:v>46247.41746527778</x:v>
      </x:c>
    </x:row>
    <x:row r="65">
      <x:c r="A65" s="256" t="str">
        <x:v>GCash</x:v>
      </x:c>
      <x:c r="B65" s="257" t="str">
        <x:v>98c76be4-b5a4-47c7-b82f-b2c081789449</x:v>
      </x:c>
      <x:c r="C65" s="257" t="str">
        <x:v>​09945122150</x:v>
      </x:c>
      <x:c r="D65" s="256" t="str">
        <x:v>Baseline — already approved</x:v>
      </x:c>
      <x:c r="E65" s="263" t="n">
        <x:v>46247.41746527778</x:v>
      </x:c>
    </x:row>
    <x:row r="66">
      <x:c r="A66" s="256" t="str">
        <x:v>GCash</x:v>
      </x:c>
      <x:c r="B66" s="257" t="str">
        <x:v>4f1c8608-a5a4-4687-b524-abcaebc245cd</x:v>
      </x:c>
      <x:c r="C66" s="257" t="str">
        <x:v>​3043225219388</x:v>
      </x:c>
      <x:c r="D66" s="256" t="str">
        <x:v>Baseline — already approved</x:v>
      </x:c>
      <x:c r="E66" s="263" t="n">
        <x:v>46247.41746527778</x:v>
      </x:c>
    </x:row>
    <x:row r="67">
      <x:c r="A67" s="256" t="str">
        <x:v>GCash</x:v>
      </x:c>
      <x:c r="B67" s="257" t="str">
        <x:v>bd27a407-5696-4a3b-9aa0-9fabf7122a84</x:v>
      </x:c>
      <x:c r="C67" s="257" t="str">
        <x:v>​8043225534801</x:v>
      </x:c>
      <x:c r="D67" s="256" t="str">
        <x:v>Baseline — already approved</x:v>
      </x:c>
      <x:c r="E67" s="263" t="n">
        <x:v>46247.41746527778</x:v>
      </x:c>
    </x:row>
    <x:row r="68">
      <x:c r="A68" s="256" t="str">
        <x:v>GCash</x:v>
      </x:c>
      <x:c r="B68" s="257" t="str">
        <x:v>d53486ce-7a2a-4509-a6f9-f38f21d6a564</x:v>
      </x:c>
      <x:c r="C68" s="257" t="str">
        <x:v>​4043229456157</x:v>
      </x:c>
      <x:c r="D68" s="256" t="str">
        <x:v>Baseline — already approved</x:v>
      </x:c>
      <x:c r="E68" s="263" t="n">
        <x:v>46247.41746527778</x:v>
      </x:c>
    </x:row>
    <x:row r="69">
      <x:c r="A69" s="256" t="str">
        <x:v>GCash</x:v>
      </x:c>
      <x:c r="B69" s="257" t="str">
        <x:v>4969e9ef-bd00-4e9c-a54c-69150897ea9b</x:v>
      </x:c>
      <x:c r="C69" s="257" t="str">
        <x:v>​0043235135335</x:v>
      </x:c>
      <x:c r="D69" s="256" t="str">
        <x:v>Baseline — already approved</x:v>
      </x:c>
      <x:c r="E69" s="263" t="n">
        <x:v>46247.41746527778</x:v>
      </x:c>
    </x:row>
    <x:row r="70">
      <x:c r="A70" s="256" t="str">
        <x:v>GCash</x:v>
      </x:c>
      <x:c r="B70" s="257" t="str">
        <x:v>c2a33610-ac83-441e-a75c-4d46e282e831</x:v>
      </x:c>
      <x:c r="C70" s="257" t="str">
        <x:v>​2043239219168</x:v>
      </x:c>
      <x:c r="D70" s="256" t="str">
        <x:v>Baseline — already approved</x:v>
      </x:c>
      <x:c r="E70" s="263" t="n">
        <x:v>46247.41746527778</x:v>
      </x:c>
    </x:row>
    <x:row r="71">
      <x:c r="A71" s="256" t="str">
        <x:v>GCash</x:v>
      </x:c>
      <x:c r="B71" s="257" t="str">
        <x:v>401a49c4-f781-4157-8c30-5cc1bfad6823</x:v>
      </x:c>
      <x:c r="C71" s="257" t="str">
        <x:v>​2043250716149</x:v>
      </x:c>
      <x:c r="D71" s="256" t="str">
        <x:v>Baseline — already approved</x:v>
      </x:c>
      <x:c r="E71" s="263" t="n">
        <x:v>46247.41746527778</x:v>
      </x:c>
    </x:row>
    <x:row r="72">
      <x:c r="A72" s="256" t="str">
        <x:v>GCash</x:v>
      </x:c>
      <x:c r="B72" s="257" t="str">
        <x:v>7361f79a-d22b-4247-8197-d527d21bd8c7</x:v>
      </x:c>
      <x:c r="C72" s="257" t="str">
        <x:v>DWQM4TK3JDO9KHJ51</x:v>
      </x:c>
      <x:c r="D72" s="256" t="str">
        <x:v>Baseline — already approved</x:v>
      </x:c>
      <x:c r="E72" s="263" t="n">
        <x:v>46247.41746527778</x:v>
      </x:c>
    </x:row>
    <x:row r="73">
      <x:c r="A73" s="256" t="str">
        <x:v>GCash</x:v>
      </x:c>
      <x:c r="B73" s="257" t="str">
        <x:v>5ff9d5ba-2d83-4874-9910-5232fd398719</x:v>
      </x:c>
      <x:c r="C73" s="257" t="str">
        <x:v>​7043256168923</x:v>
      </x:c>
      <x:c r="D73" s="256" t="str">
        <x:v>Baseline — already approved</x:v>
      </x:c>
      <x:c r="E73" s="263" t="n">
        <x:v>46247.41746527778</x:v>
      </x:c>
    </x:row>
    <x:row r="74">
      <x:c r="A74" s="256" t="str">
        <x:v>GCash</x:v>
      </x:c>
      <x:c r="B74" s="257" t="str">
        <x:v>0fbd3043-3675-4751-a800-c89ffe2a4b7e</x:v>
      </x:c>
      <x:c r="C74" s="257" t="str">
        <x:v>​5043258131507</x:v>
      </x:c>
      <x:c r="D74" s="256" t="str">
        <x:v>Baseline — already approved</x:v>
      </x:c>
      <x:c r="E74" s="263" t="n">
        <x:v>46247.41746527778</x:v>
      </x:c>
    </x:row>
    <x:row r="75">
      <x:c r="A75" s="256" t="str">
        <x:v>GCash</x:v>
      </x:c>
      <x:c r="B75" s="257" t="str">
        <x:v>fdef7380-fcef-463f-9c03-587547388a25</x:v>
      </x:c>
      <x:c r="C75" s="257" t="str">
        <x:v>​3043261318043</x:v>
      </x:c>
      <x:c r="D75" s="256" t="str">
        <x:v>Baseline — already approved</x:v>
      </x:c>
      <x:c r="E75" s="263" t="n">
        <x:v>46247.41746527778</x:v>
      </x:c>
    </x:row>
    <x:row r="76">
      <x:c r="A76" s="256" t="str">
        <x:v>GCash</x:v>
      </x:c>
      <x:c r="B76" s="257" t="str">
        <x:v>edf6f543-c37f-418e-b2e5-0616becfc90e</x:v>
      </x:c>
      <x:c r="C76" s="257" t="str">
        <x:v>​5043268536782</x:v>
      </x:c>
      <x:c r="D76" s="256" t="str">
        <x:v>Baseline — already approved</x:v>
      </x:c>
      <x:c r="E76" s="263" t="n">
        <x:v>46247.41746527778</x:v>
      </x:c>
    </x:row>
    <x:row r="77">
      <x:c r="A77" s="256" t="str">
        <x:v>GCash</x:v>
      </x:c>
      <x:c r="B77" s="257" t="str">
        <x:v>73e228a9-3427-436a-a14b-217d34cd17cd</x:v>
      </x:c>
      <x:c r="C77" s="257" t="str">
        <x:v>​7043273084022</x:v>
      </x:c>
      <x:c r="D77" s="256" t="str">
        <x:v>Baseline — already approved</x:v>
      </x:c>
      <x:c r="E77" s="263" t="n">
        <x:v>46247.41746527778</x:v>
      </x:c>
    </x:row>
    <x:row r="78">
      <x:c r="A78" s="256" t="str">
        <x:v>GCash</x:v>
      </x:c>
      <x:c r="B78" s="257" t="str">
        <x:v>bbedd479-e33d-4b0a-b5c4-2d8a4def86d1</x:v>
      </x:c>
      <x:c r="C78" s="257" t="str">
        <x:v>​0043284755419</x:v>
      </x:c>
      <x:c r="D78" s="256" t="str">
        <x:v>Baseline — already approved</x:v>
      </x:c>
      <x:c r="E78" s="263" t="n">
        <x:v>46247.41746527778</x:v>
      </x:c>
    </x:row>
    <x:row r="79">
      <x:c r="A79" s="256" t="str">
        <x:v>GCash</x:v>
      </x:c>
      <x:c r="B79" s="257" t="str">
        <x:v>77def2cc-7444-486d-a32c-93af67525d25</x:v>
      </x:c>
      <x:c r="C79" s="257" t="str">
        <x:v>​3043286931767</x:v>
      </x:c>
      <x:c r="D79" s="256" t="str">
        <x:v>Baseline — already approved</x:v>
      </x:c>
      <x:c r="E79" s="263" t="n">
        <x:v>46247.41746527778</x:v>
      </x:c>
    </x:row>
    <x:row r="80">
      <x:c r="A80" s="256" t="str">
        <x:v>GCash</x:v>
      </x:c>
      <x:c r="B80" s="257" t="str">
        <x:v>c17485ee-4c95-41b5-89dc-91b16a6ac4d0</x:v>
      </x:c>
      <x:c r="C80" s="257" t="str">
        <x:v>​6043290871388</x:v>
      </x:c>
      <x:c r="D80" s="256" t="str">
        <x:v>Baseline — already approved</x:v>
      </x:c>
      <x:c r="E80" s="263" t="n">
        <x:v>46247.41746527778</x:v>
      </x:c>
    </x:row>
    <x:row r="81">
      <x:c r="A81" s="256" t="str">
        <x:v>GCash</x:v>
      </x:c>
      <x:c r="B81" s="257" t="str">
        <x:v>5ce58ec3-e6ae-4ec3-a089-b4a625eb6812</x:v>
      </x:c>
      <x:c r="C81" s="257" t="str">
        <x:v>​436547657467657</x:v>
      </x:c>
      <x:c r="D81" s="256" t="str">
        <x:v>Baseline — already approved</x:v>
      </x:c>
      <x:c r="E81" s="263" t="n">
        <x:v>46247.41746527778</x:v>
      </x:c>
    </x:row>
    <x:row r="82">
      <x:c r="A82" s="256" t="str">
        <x:v>GCash</x:v>
      </x:c>
      <x:c r="B82" s="257" t="str">
        <x:v>de2a2d44-e4d7-4325-9567-24964ac77f01</x:v>
      </x:c>
      <x:c r="C82" s="257" t="str">
        <x:v>​547567567</x:v>
      </x:c>
      <x:c r="D82" s="256" t="str">
        <x:v>Baseline — already approved</x:v>
      </x:c>
      <x:c r="E82" s="263" t="n">
        <x:v>46247.41746527778</x:v>
      </x:c>
    </x:row>
    <x:row r="83">
      <x:c r="A83" s="256" t="str">
        <x:v>GCash</x:v>
      </x:c>
      <x:c r="B83" s="257" t="str">
        <x:v>f455a568-4a03-436e-af5c-c7f0ad4880b2</x:v>
      </x:c>
      <x:c r="C83" s="257" t="str">
        <x:v>​7043304532610</x:v>
      </x:c>
      <x:c r="D83" s="256" t="str">
        <x:v>Baseline — already approved</x:v>
      </x:c>
      <x:c r="E83" s="263" t="n">
        <x:v>46247.41746527778</x:v>
      </x:c>
    </x:row>
    <x:row r="84">
      <x:c r="A84" s="256" t="str">
        <x:v>GCash</x:v>
      </x:c>
      <x:c r="B84" s="257" t="str">
        <x:v>7749996f-b51c-4af1-86cd-60bb62b5e3ad</x:v>
      </x:c>
      <x:c r="C84" s="257" t="str">
        <x:v>​658767</x:v>
      </x:c>
      <x:c r="D84" s="256" t="str">
        <x:v>Baseline — already approved</x:v>
      </x:c>
      <x:c r="E84" s="263" t="n">
        <x:v>46247.41746527778</x:v>
      </x:c>
    </x:row>
    <x:row r="85">
      <x:c r="A85" s="256" t="str">
        <x:v>GCash</x:v>
      </x:c>
      <x:c r="B85" s="257" t="str">
        <x:v>33dd579d-0205-4049-9501-2ee716d592b4</x:v>
      </x:c>
      <x:c r="C85" s="257" t="str">
        <x:v>​7043315325049</x:v>
      </x:c>
      <x:c r="D85" s="256" t="str">
        <x:v>Baseline — already approved</x:v>
      </x:c>
      <x:c r="E85" s="263" t="n">
        <x:v>46247.41746527778</x:v>
      </x:c>
    </x:row>
    <x:row r="86">
      <x:c r="A86" s="256" t="str">
        <x:v>GCash</x:v>
      </x:c>
      <x:c r="B86" s="257" t="str">
        <x:v>e7a3fe25-1e32-4837-8241-b7f99bdc0f12</x:v>
      </x:c>
      <x:c r="C86" s="257" t="str">
        <x:v>​093435456</x:v>
      </x:c>
      <x:c r="D86" s="256" t="str">
        <x:v>Baseline — already approved</x:v>
      </x:c>
      <x:c r="E86" s="263" t="n">
        <x:v>46247.41746527778</x:v>
      </x:c>
    </x:row>
    <x:row r="87">
      <x:c r="A87" s="256" t="str">
        <x:v>GCash</x:v>
      </x:c>
      <x:c r="B87" s="257" t="str">
        <x:v>4155aa80-3142-45c8-84f3-774f039ebbac</x:v>
      </x:c>
      <x:c r="C87" s="257" t="str">
        <x:v>​09352238840</x:v>
      </x:c>
      <x:c r="D87" s="256" t="str">
        <x:v>Baseline — already approved</x:v>
      </x:c>
      <x:c r="E87" s="263" t="n">
        <x:v>46247.41746527778</x:v>
      </x:c>
    </x:row>
    <x:row r="88">
      <x:c r="A88" s="256" t="str">
        <x:v>GCash</x:v>
      </x:c>
      <x:c r="B88" s="257" t="str">
        <x:v>05ce23a6-2656-4470-9809-724898f3da41</x:v>
      </x:c>
      <x:c r="C88" s="257" t="str">
        <x:v>​09240520156</x:v>
      </x:c>
      <x:c r="D88" s="256" t="str">
        <x:v>Baseline — already approved</x:v>
      </x:c>
      <x:c r="E88" s="263" t="n">
        <x:v>46247.41746527778</x:v>
      </x:c>
    </x:row>
    <x:row r="89">
      <x:c r="A89" s="256" t="str">
        <x:v>GCash</x:v>
      </x:c>
      <x:c r="B89" s="257" t="str">
        <x:v>0159355d-b2fc-41ec-9f76-0df66ee873bd</x:v>
      </x:c>
      <x:c r="C89" s="257" t="str">
        <x:v>​09562755830</x:v>
      </x:c>
      <x:c r="D89" s="256" t="str">
        <x:v>Baseline — already approved</x:v>
      </x:c>
      <x:c r="E89" s="263" t="n">
        <x:v>46247.41746527778</x:v>
      </x:c>
    </x:row>
    <x:row r="90">
      <x:c r="A90" s="256" t="str">
        <x:v>GCash</x:v>
      </x:c>
      <x:c r="B90" s="257" t="str">
        <x:v>80920dd9-6179-4de2-8af7-2fa57b5dca8d</x:v>
      </x:c>
      <x:c r="C90" s="257" t="str">
        <x:v>​098678678</x:v>
      </x:c>
      <x:c r="D90" s="256" t="str">
        <x:v>Baseline — already approved</x:v>
      </x:c>
      <x:c r="E90" s="263" t="n">
        <x:v>46247.41746527778</x:v>
      </x:c>
    </x:row>
    <x:row r="91">
      <x:c r="A91" s="256" t="str">
        <x:v>GCash</x:v>
      </x:c>
      <x:c r="B91" s="257" t="str">
        <x:v>7639df7f-0298-46dd-b7de-425c43863995</x:v>
      </x:c>
      <x:c r="C91" s="257" t="str">
        <x:v>​3043340203319</x:v>
      </x:c>
      <x:c r="D91" s="256" t="str">
        <x:v>Baseline — already approved</x:v>
      </x:c>
      <x:c r="E91" s="263" t="n">
        <x:v>46247.41746527778</x:v>
      </x:c>
    </x:row>
    <x:row r="92">
      <x:c r="A92" s="256" t="str">
        <x:v>GCash</x:v>
      </x:c>
      <x:c r="B92" s="257" t="str">
        <x:v>8e400cea-dc83-4b42-afb7-36c8d30f304d</x:v>
      </x:c>
      <x:c r="C92" s="257" t="str">
        <x:v>​3043346660728</x:v>
      </x:c>
      <x:c r="D92" s="256" t="str">
        <x:v>Baseline — already approved</x:v>
      </x:c>
      <x:c r="E92" s="263" t="n">
        <x:v>46247.41746527778</x:v>
      </x:c>
    </x:row>
    <x:row r="93">
      <x:c r="A93" s="256" t="str">
        <x:v>GCash</x:v>
      </x:c>
      <x:c r="B93" s="257" t="str">
        <x:v>9f81b0b6-7b7d-47fc-8892-81d9987a918c</x:v>
      </x:c>
      <x:c r="C93" s="257" t="str">
        <x:v>​8043349868799</x:v>
      </x:c>
      <x:c r="D93" s="256" t="str">
        <x:v>Baseline — already approved</x:v>
      </x:c>
      <x:c r="E93" s="263" t="n">
        <x:v>46247.41746527778</x:v>
      </x:c>
    </x:row>
    <x:row r="94">
      <x:c r="A94" s="256" t="str">
        <x:v>GCash</x:v>
      </x:c>
      <x:c r="B94" s="257" t="str">
        <x:v>c9ffa82f-5f71-4e02-bd32-27ece4331f79</x:v>
      </x:c>
      <x:c r="C94" s="257" t="str">
        <x:v>​4043350585624</x:v>
      </x:c>
      <x:c r="D94" s="256" t="str">
        <x:v>Baseline — already approved</x:v>
      </x:c>
      <x:c r="E94" s="263" t="n">
        <x:v>46247.41746527778</x:v>
      </x:c>
    </x:row>
    <x:row r="95">
      <x:c r="A95" s="256" t="str">
        <x:v>GCash</x:v>
      </x:c>
      <x:c r="B95" s="257" t="str">
        <x:v>902b56c8-2cc2-406e-9d5c-71cddb4bec0b</x:v>
      </x:c>
      <x:c r="C95" s="257" t="str">
        <x:v>​3043352650743</x:v>
      </x:c>
      <x:c r="D95" s="256" t="str">
        <x:v>Baseline — already approved</x:v>
      </x:c>
      <x:c r="E95" s="263" t="n">
        <x:v>46247.41746527778</x:v>
      </x:c>
    </x:row>
    <x:row r="96">
      <x:c r="A96" s="256" t="str">
        <x:v>GCash</x:v>
      </x:c>
      <x:c r="B96" s="257" t="str">
        <x:v>66cf8e30-d0d5-4dcd-a57e-95d45cd4d695</x:v>
      </x:c>
      <x:c r="C96" s="257" t="str">
        <x:v>​9043359963302</x:v>
      </x:c>
      <x:c r="D96" s="256" t="str">
        <x:v>Baseline — already approved</x:v>
      </x:c>
      <x:c r="E96" s="263" t="n">
        <x:v>46247.41746527778</x:v>
      </x:c>
    </x:row>
    <x:row r="97">
      <x:c r="A97" s="256" t="str">
        <x:v>GCash</x:v>
      </x:c>
      <x:c r="B97" s="257" t="str">
        <x:v>536828fc-9566-45ca-83bc-454289b7e698</x:v>
      </x:c>
      <x:c r="C97" s="257" t="str">
        <x:v>​6043360069191</x:v>
      </x:c>
      <x:c r="D97" s="256" t="str">
        <x:v>Baseline — already approved</x:v>
      </x:c>
      <x:c r="E97" s="263" t="n">
        <x:v>46247.41746527778</x:v>
      </x:c>
    </x:row>
    <x:row r="98">
      <x:c r="A98" s="256" t="str">
        <x:v>GCash</x:v>
      </x:c>
      <x:c r="B98" s="257" t="str">
        <x:v>aed4479f-5391-4b60-9987-38146f531a2f</x:v>
      </x:c>
      <x:c r="C98" s="257" t="str">
        <x:v>​5043367046080</x:v>
      </x:c>
      <x:c r="D98" s="256" t="str">
        <x:v>Baseline — already approved</x:v>
      </x:c>
      <x:c r="E98" s="263" t="n">
        <x:v>46247.41746527778</x:v>
      </x:c>
    </x:row>
    <x:row r="99">
      <x:c r="A99" s="256" t="str">
        <x:v>GCash</x:v>
      </x:c>
      <x:c r="B99" s="257" t="str">
        <x:v>82bc778f-384a-4e55-b345-2cc332f1f348</x:v>
      </x:c>
      <x:c r="C99" s="257" t="str">
        <x:v>​9043369295514</x:v>
      </x:c>
      <x:c r="D99" s="256" t="str">
        <x:v>Baseline — already approved</x:v>
      </x:c>
      <x:c r="E99" s="263" t="n">
        <x:v>46247.41746527778</x:v>
      </x:c>
    </x:row>
    <x:row r="100">
      <x:c r="A100" s="256" t="str">
        <x:v>GCash</x:v>
      </x:c>
      <x:c r="B100" s="257" t="str">
        <x:v>90face1d-52ef-4878-9ce3-70216012b532</x:v>
      </x:c>
      <x:c r="C100" s="257" t="str">
        <x:v>​1043374682181</x:v>
      </x:c>
      <x:c r="D100" s="256" t="str">
        <x:v>Baseline — already approved</x:v>
      </x:c>
      <x:c r="E100" s="263" t="n">
        <x:v>46247.41746527778</x:v>
      </x:c>
    </x:row>
    <x:row r="101">
      <x:c r="A101" s="256" t="str">
        <x:v>GCash</x:v>
      </x:c>
      <x:c r="B101" s="257" t="str">
        <x:v>e20ceb35-91da-4de1-a3bd-0fc8075378b7</x:v>
      </x:c>
      <x:c r="C101" s="257" t="str">
        <x:v>​6043382193263</x:v>
      </x:c>
      <x:c r="D101" s="256" t="str">
        <x:v>Baseline — already approved</x:v>
      </x:c>
      <x:c r="E101" s="263" t="n">
        <x:v>46247.41746527778</x:v>
      </x:c>
    </x:row>
    <x:row r="102">
      <x:c r="A102" s="256" t="str">
        <x:v>GCash</x:v>
      </x:c>
      <x:c r="B102" s="257" t="str">
        <x:v>f1513787-8d4c-4399-942a-e12d376e0bf5</x:v>
      </x:c>
      <x:c r="C102" s="257" t="str">
        <x:v>​8043384683981</x:v>
      </x:c>
      <x:c r="D102" s="256" t="str">
        <x:v>Baseline — already approved</x:v>
      </x:c>
      <x:c r="E102" s="263" t="n">
        <x:v>46247.41746527778</x:v>
      </x:c>
    </x:row>
    <x:row r="103">
      <x:c r="A103" s="256" t="str">
        <x:v>GCash</x:v>
      </x:c>
      <x:c r="B103" s="257" t="str">
        <x:v>391ff982-c886-4845-8078-26389f885f4f</x:v>
      </x:c>
      <x:c r="C103" s="257" t="str">
        <x:v>​7043385382477</x:v>
      </x:c>
      <x:c r="D103" s="256" t="str">
        <x:v>Baseline — already approved</x:v>
      </x:c>
      <x:c r="E103" s="263" t="n">
        <x:v>46247.41746527778</x:v>
      </x:c>
    </x:row>
    <x:row r="104">
      <x:c r="A104" s="256" t="str">
        <x:v>GCash</x:v>
      </x:c>
      <x:c r="B104" s="257" t="str">
        <x:v>1fcf779f-8f93-4aec-90aa-3110f16132a1</x:v>
      </x:c>
      <x:c r="C104" s="257" t="str">
        <x:v>​09468499302</x:v>
      </x:c>
      <x:c r="D104" s="256" t="str">
        <x:v>Baseline — already approved</x:v>
      </x:c>
      <x:c r="E104" s="263" t="n">
        <x:v>46247.41746527778</x:v>
      </x:c>
    </x:row>
    <x:row r="105">
      <x:c r="A105" s="256" t="str">
        <x:v>GCash</x:v>
      </x:c>
      <x:c r="B105" s="257" t="str">
        <x:v>3f0916ec-175d-4ea9-a547-1ff84e74ef20</x:v>
      </x:c>
      <x:c r="C105" s="257" t="str">
        <x:v>​09274208401</x:v>
      </x:c>
      <x:c r="D105" s="256" t="str">
        <x:v>Baseline — already approved</x:v>
      </x:c>
      <x:c r="E105" s="263" t="n">
        <x:v>46247.41746527778</x:v>
      </x:c>
    </x:row>
    <x:row r="106">
      <x:c r="A106" s="256" t="str">
        <x:v>GCash</x:v>
      </x:c>
      <x:c r="B106" s="257" t="str">
        <x:v>da6d7447-68c4-4807-b722-21561d350aac</x:v>
      </x:c>
      <x:c r="C106" s="257" t="str">
        <x:v>​09476491875</x:v>
      </x:c>
      <x:c r="D106" s="256" t="str">
        <x:v>Baseline — already approved</x:v>
      </x:c>
      <x:c r="E106" s="263" t="n">
        <x:v>46247.41746527778</x:v>
      </x:c>
    </x:row>
    <x:row r="107">
      <x:c r="A107" s="256" t="str">
        <x:v>GCash</x:v>
      </x:c>
      <x:c r="B107" s="257" t="str">
        <x:v>aafbecbc-27e2-45f2-87a8-637c76edeabd</x:v>
      </x:c>
      <x:c r="C107" s="257" t="str">
        <x:v>​09629602023</x:v>
      </x:c>
      <x:c r="D107" s="256" t="str">
        <x:v>Baseline — already approved</x:v>
      </x:c>
      <x:c r="E107" s="263" t="n">
        <x:v>46247.41746527778</x:v>
      </x:c>
    </x:row>
    <x:row r="108">
      <x:c r="A108" s="256" t="str">
        <x:v>GCash</x:v>
      </x:c>
      <x:c r="B108" s="257" t="str">
        <x:v>0e6456d1-ce7e-4630-809d-8891bcdc57dc</x:v>
      </x:c>
      <x:c r="C108" s="257" t="str">
        <x:v>​09176835485</x:v>
      </x:c>
      <x:c r="D108" s="256" t="str">
        <x:v>Baseline — already approved</x:v>
      </x:c>
      <x:c r="E108" s="263" t="n">
        <x:v>46247.41746527778</x:v>
      </x:c>
    </x:row>
    <x:row r="109">
      <x:c r="A109" s="256" t="str">
        <x:v>GCash</x:v>
      </x:c>
      <x:c r="B109" s="257" t="str">
        <x:v>2b768a5e-cec9-4359-a5a7-e53c1269734e</x:v>
      </x:c>
      <x:c r="C109" s="257" t="str">
        <x:v>​09106290298</x:v>
      </x:c>
      <x:c r="D109" s="256" t="str">
        <x:v>Baseline — already approved</x:v>
      </x:c>
      <x:c r="E109" s="263" t="n">
        <x:v>46247.41746527778</x:v>
      </x:c>
    </x:row>
    <x:row r="110">
      <x:c r="A110" s="256" t="str">
        <x:v>GCash</x:v>
      </x:c>
      <x:c r="B110" s="257" t="str">
        <x:v>b946c284-5189-4ae6-960f-7f5834ac89ef</x:v>
      </x:c>
      <x:c r="C110" s="257" t="str">
        <x:v>​09468499302</x:v>
      </x:c>
      <x:c r="D110" s="256" t="str">
        <x:v>Baseline — already approved</x:v>
      </x:c>
      <x:c r="E110" s="263" t="n">
        <x:v>46247.41746527778</x:v>
      </x:c>
    </x:row>
    <x:row r="111">
      <x:c r="A111" s="256" t="str">
        <x:v>GCash</x:v>
      </x:c>
      <x:c r="B111" s="257" t="str">
        <x:v>c2932958-d613-4078-a16f-96a386007f3d</x:v>
      </x:c>
      <x:c r="C111" s="257" t="str">
        <x:v>​09468499302</x:v>
      </x:c>
      <x:c r="D111" s="256" t="str">
        <x:v>Baseline — already approved</x:v>
      </x:c>
      <x:c r="E111" s="263" t="n">
        <x:v>46247.41746527778</x:v>
      </x:c>
    </x:row>
    <x:row r="112">
      <x:c r="A112" s="256" t="str">
        <x:v>GCash</x:v>
      </x:c>
      <x:c r="B112" s="257" t="str">
        <x:v>92f0afe4-b271-4d55-bea5-906ddc25d245</x:v>
      </x:c>
      <x:c r="C112" s="257" t="str">
        <x:v>​09091834092</x:v>
      </x:c>
      <x:c r="D112" s="256" t="str">
        <x:v>Baseline — already approved</x:v>
      </x:c>
      <x:c r="E112" s="263" t="n">
        <x:v>46247.41746527778</x:v>
      </x:c>
    </x:row>
    <x:row r="113">
      <x:c r="A113" s="256" t="str">
        <x:v>GCash</x:v>
      </x:c>
      <x:c r="B113" s="257" t="str">
        <x:v>6a895390-9e42-4cb2-9f3e-a89ebce82aba</x:v>
      </x:c>
      <x:c r="C113" s="257" t="str">
        <x:v>​09075786849</x:v>
      </x:c>
      <x:c r="D113" s="256" t="str">
        <x:v>Baseline — already approved</x:v>
      </x:c>
      <x:c r="E113" s="263" t="n">
        <x:v>46247.41746527778</x:v>
      </x:c>
    </x:row>
    <x:row r="114">
      <x:c r="A114" s="256" t="str">
        <x:v>GCash</x:v>
      </x:c>
      <x:c r="B114" s="257" t="str">
        <x:v>a5bb85fc-4dec-4784-891a-37e539e57aa5</x:v>
      </x:c>
      <x:c r="C114" s="257" t="str">
        <x:v>​09075786849</x:v>
      </x:c>
      <x:c r="D114" s="256" t="str">
        <x:v>Baseline — already approved</x:v>
      </x:c>
      <x:c r="E114" s="263" t="n">
        <x:v>46247.41746527778</x:v>
      </x:c>
    </x:row>
    <x:row r="115">
      <x:c r="A115" s="256" t="str">
        <x:v>GCash</x:v>
      </x:c>
      <x:c r="B115" s="257" t="str">
        <x:v>88fc861b-359b-4a01-84bf-949e4e24dde3</x:v>
      </x:c>
      <x:c r="C115" s="257" t="str">
        <x:v>​09272959121</x:v>
      </x:c>
      <x:c r="D115" s="256" t="str">
        <x:v>Baseline — already approved</x:v>
      </x:c>
      <x:c r="E115" s="263" t="n">
        <x:v>46247.41746527778</x:v>
      </x:c>
    </x:row>
    <x:row r="116">
      <x:c r="A116" s="256" t="str">
        <x:v>GCash</x:v>
      </x:c>
      <x:c r="B116" s="257" t="str">
        <x:v>519b4ba8-e4e4-4cf0-9774-f4d8dbd0fff0</x:v>
      </x:c>
      <x:c r="C116" s="257" t="str">
        <x:v>​09665868585</x:v>
      </x:c>
      <x:c r="D116" s="256" t="str">
        <x:v>Baseline — already approved</x:v>
      </x:c>
      <x:c r="E116" s="263" t="n">
        <x:v>46247.41746527778</x:v>
      </x:c>
    </x:row>
    <x:row r="117">
      <x:c r="A117" s="256" t="str">
        <x:v>GCash</x:v>
      </x:c>
      <x:c r="B117" s="257" t="str">
        <x:v>47fa1f22-ea06-4161-bee1-65e65403cd1f</x:v>
      </x:c>
      <x:c r="C117" s="257" t="str">
        <x:v>DWQM4TK3JDO9</x:v>
      </x:c>
      <x:c r="D117" s="256" t="str">
        <x:v>Baseline — already approved</x:v>
      </x:c>
      <x:c r="E117" s="263" t="n">
        <x:v>46247.41746527778</x:v>
      </x:c>
    </x:row>
    <x:row r="118">
      <x:c r="A118" s="256" t="str">
        <x:v>GCash</x:v>
      </x:c>
      <x:c r="B118" s="257" t="str">
        <x:v>91d80e48-d489-46ed-9b8b-a51aed5aeb92</x:v>
      </x:c>
      <x:c r="C118" s="257" t="str">
        <x:v>​9043563830343</x:v>
      </x:c>
      <x:c r="D118" s="256" t="str">
        <x:v>Baseline — already approved</x:v>
      </x:c>
      <x:c r="E118" s="263" t="n">
        <x:v>46247.41746527778</x:v>
      </x:c>
    </x:row>
    <x:row r="119">
      <x:c r="A119" s="256" t="str">
        <x:v>GCash</x:v>
      </x:c>
      <x:c r="B119" s="257" t="str">
        <x:v>872a19a8-57cc-4fdb-bdc1-0d8aabfcc36d</x:v>
      </x:c>
      <x:c r="C119" s="257" t="str">
        <x:v>​09605705185</x:v>
      </x:c>
      <x:c r="D119" s="256" t="str">
        <x:v>Baseline — already approved</x:v>
      </x:c>
      <x:c r="E119" s="263" t="n">
        <x:v>46247.41746527778</x:v>
      </x:c>
    </x:row>
    <x:row r="120">
      <x:c r="A120" s="256" t="str">
        <x:v>GCash</x:v>
      </x:c>
      <x:c r="B120" s="257" t="str">
        <x:v>3f74edfc-05e8-4a25-8baf-ba0fc4035b55</x:v>
      </x:c>
      <x:c r="C120" s="257" t="str">
        <x:v>​09984898734</x:v>
      </x:c>
      <x:c r="D120" s="256" t="str">
        <x:v>Baseline — already approved</x:v>
      </x:c>
      <x:c r="E120" s="263" t="n">
        <x:v>46247.41746527778</x:v>
      </x:c>
    </x:row>
    <x:row r="121">
      <x:c r="A121" s="256" t="str">
        <x:v>GCash</x:v>
      </x:c>
      <x:c r="B121" s="257" t="str">
        <x:v>3a25b738-b66e-4817-bfa9-69ec2eb8d526</x:v>
      </x:c>
      <x:c r="C121" s="257" t="str">
        <x:v>​09926266665</x:v>
      </x:c>
      <x:c r="D121" s="256" t="str">
        <x:v>Baseline — already approved</x:v>
      </x:c>
      <x:c r="E121" s="263" t="n">
        <x:v>46247.41746527778</x:v>
      </x:c>
    </x:row>
    <x:row r="122">
      <x:c r="A122" s="256" t="str">
        <x:v>GCash</x:v>
      </x:c>
      <x:c r="B122" s="257" t="str">
        <x:v>27317ac6-948d-49e3-9843-7761b7d30c8d</x:v>
      </x:c>
      <x:c r="C122" s="257" t="str">
        <x:v>​09364936600</x:v>
      </x:c>
      <x:c r="D122" s="256" t="str">
        <x:v>Baseline — already approved</x:v>
      </x:c>
      <x:c r="E122" s="263" t="n">
        <x:v>46247.41746527778</x:v>
      </x:c>
    </x:row>
    <x:row r="123">
      <x:c r="A123" s="256" t="str">
        <x:v>GCash</x:v>
      </x:c>
      <x:c r="B123" s="257" t="str">
        <x:v>08e74653-af04-4747-b6fd-cf4cbc4fd083</x:v>
      </x:c>
      <x:c r="C123" s="257" t="str">
        <x:v>​09154716991</x:v>
      </x:c>
      <x:c r="D123" s="256" t="str">
        <x:v>Baseline — already approved</x:v>
      </x:c>
      <x:c r="E123" s="263" t="n">
        <x:v>46247.41746527778</x:v>
      </x:c>
    </x:row>
    <x:row r="124">
      <x:c r="A124" s="256" t="str">
        <x:v>GCash</x:v>
      </x:c>
      <x:c r="B124" s="257" t="str">
        <x:v>312c6d07-e1f0-48ab-9158-3f87c1c5f728</x:v>
      </x:c>
      <x:c r="C124" s="257" t="str">
        <x:v>​09175011713</x:v>
      </x:c>
      <x:c r="D124" s="256" t="str">
        <x:v>Baseline — already approved</x:v>
      </x:c>
      <x:c r="E124" s="263" t="n">
        <x:v>46247.41746527778</x:v>
      </x:c>
    </x:row>
    <x:row r="125">
      <x:c r="A125" s="256" t="str">
        <x:v>GCash</x:v>
      </x:c>
      <x:c r="B125" s="257" t="str">
        <x:v>f83af43a-06a3-4fbc-b28f-d47760500e95</x:v>
      </x:c>
      <x:c r="C125" s="257" t="str">
        <x:v>​09926266665</x:v>
      </x:c>
      <x:c r="D125" s="256" t="str">
        <x:v>Baseline — already approved</x:v>
      </x:c>
      <x:c r="E125" s="263" t="n">
        <x:v>46247.41746527778</x:v>
      </x:c>
    </x:row>
    <x:row r="126">
      <x:c r="A126" s="256" t="str">
        <x:v>GCash</x:v>
      </x:c>
      <x:c r="B126" s="257" t="str">
        <x:v>7c7a0863-5d90-4011-94a8-3b1aca841f3a</x:v>
      </x:c>
      <x:c r="C126" s="257" t="str">
        <x:v>​09386373177</x:v>
      </x:c>
      <x:c r="D126" s="256" t="str">
        <x:v>Baseline — already approved</x:v>
      </x:c>
      <x:c r="E126" s="263" t="n">
        <x:v>46247.41746527778</x:v>
      </x:c>
    </x:row>
    <x:row r="127">
      <x:c r="A127" s="256" t="str">
        <x:v>GCash</x:v>
      </x:c>
      <x:c r="B127" s="257" t="str">
        <x:v>130d2775-37f6-4624-bce1-22fd24ba1239</x:v>
      </x:c>
      <x:c r="C127" s="257" t="str">
        <x:v>​09668205046</x:v>
      </x:c>
      <x:c r="D127" s="256" t="str">
        <x:v>Baseline — already approved</x:v>
      </x:c>
      <x:c r="E127" s="263" t="n">
        <x:v>46247.41746527778</x:v>
      </x:c>
    </x:row>
    <x:row r="128">
      <x:c r="A128" s="256" t="str">
        <x:v>GCash</x:v>
      </x:c>
      <x:c r="B128" s="257" t="str">
        <x:v>8e184d36-1641-43f7-b13e-a8c5eda765df</x:v>
      </x:c>
      <x:c r="C128" s="257" t="str">
        <x:v>​09274208401</x:v>
      </x:c>
      <x:c r="D128" s="256" t="str">
        <x:v>Baseline — already approved</x:v>
      </x:c>
      <x:c r="E128" s="263" t="n">
        <x:v>46247.41746527778</x:v>
      </x:c>
    </x:row>
    <x:row r="129">
      <x:c r="A129" s="256" t="str">
        <x:v>GCash</x:v>
      </x:c>
      <x:c r="B129" s="257" t="str">
        <x:v>d26ba7f2-b7ce-445c-bd3a-9b105024a8b7</x:v>
      </x:c>
      <x:c r="C129" s="257" t="str">
        <x:v>​09154716991</x:v>
      </x:c>
      <x:c r="D129" s="256" t="str">
        <x:v>Baseline — already approved</x:v>
      </x:c>
      <x:c r="E129" s="263" t="n">
        <x:v>46247.41746527778</x:v>
      </x:c>
    </x:row>
    <x:row r="130">
      <x:c r="A130" s="256" t="str">
        <x:v>GCash</x:v>
      </x:c>
      <x:c r="B130" s="257" t="str">
        <x:v>31c8ae78-15e0-4d49-be8f-4dab203321c5</x:v>
      </x:c>
      <x:c r="C130" s="257" t="str">
        <x:v>​09062240909</x:v>
      </x:c>
      <x:c r="D130" s="256" t="str">
        <x:v>Baseline — already approved</x:v>
      </x:c>
      <x:c r="E130" s="263" t="n">
        <x:v>46247.41746527778</x:v>
      </x:c>
    </x:row>
    <x:row r="131">
      <x:c r="A131" s="256" t="str">
        <x:v>GCash</x:v>
      </x:c>
      <x:c r="B131" s="257" t="str">
        <x:v>948d0dcc-6398-4360-afcd-e5cff125e6fb</x:v>
      </x:c>
      <x:c r="C131" s="257" t="str">
        <x:v>​09382208186</x:v>
      </x:c>
      <x:c r="D131" s="256" t="str">
        <x:v>Baseline — already approved</x:v>
      </x:c>
      <x:c r="E131" s="263" t="n">
        <x:v>46247.41746527778</x:v>
      </x:c>
    </x:row>
    <x:row r="132">
      <x:c r="A132" s="256" t="str">
        <x:v>GCash</x:v>
      </x:c>
      <x:c r="B132" s="257" t="str">
        <x:v>91ee68ef-f90a-4cf6-96ac-a420b2a24a46</x:v>
      </x:c>
      <x:c r="C132" s="257" t="str">
        <x:v>​20860749096445</x:v>
      </x:c>
      <x:c r="D132" s="256" t="str">
        <x:v>Baseline — already approved</x:v>
      </x:c>
      <x:c r="E132" s="263" t="n">
        <x:v>46247.41746527778</x:v>
      </x:c>
    </x:row>
    <x:row r="133">
      <x:c r="A133" s="256" t="str">
        <x:v>GCash</x:v>
      </x:c>
      <x:c r="B133" s="257" t="str">
        <x:v>a0e719de-6b5a-4ab8-a999-dd9ff5b3c921</x:v>
      </x:c>
      <x:c r="C133" s="257" t="str">
        <x:v>​09157478471</x:v>
      </x:c>
      <x:c r="D133" s="256" t="str">
        <x:v>Baseline — already approved</x:v>
      </x:c>
      <x:c r="E133" s="263" t="n">
        <x:v>46247.41746527778</x:v>
      </x:c>
    </x:row>
    <x:row r="134">
      <x:c r="A134" s="256" t="str">
        <x:v>GCash</x:v>
      </x:c>
      <x:c r="B134" s="257" t="str">
        <x:v>f949d615-42d4-45df-b674-e8bc543843f3</x:v>
      </x:c>
      <x:c r="C134" s="257" t="str">
        <x:v>​09066800709</x:v>
      </x:c>
      <x:c r="D134" s="256" t="str">
        <x:v>Baseline — already approved</x:v>
      </x:c>
      <x:c r="E134" s="263" t="n">
        <x:v>46247.41746527778</x:v>
      </x:c>
    </x:row>
    <x:row r="135">
      <x:c r="A135" s="256" t="str">
        <x:v>GCash</x:v>
      </x:c>
      <x:c r="B135" s="257" t="str">
        <x:v>65b779d0-bc8c-47c9-a9f6-64624074bdae</x:v>
      </x:c>
      <x:c r="C135" s="257" t="str">
        <x:v>​09976420849</x:v>
      </x:c>
      <x:c r="D135" s="256" t="str">
        <x:v>Baseline — already approved</x:v>
      </x:c>
      <x:c r="E135" s="263" t="n">
        <x:v>46247.41746527778</x:v>
      </x:c>
    </x:row>
    <x:row r="136">
      <x:c r="A136" s="256" t="str">
        <x:v>GCash</x:v>
      </x:c>
      <x:c r="B136" s="257" t="str">
        <x:v>c3a0d68f-3d39-4303-a524-943b976f08b2</x:v>
      </x:c>
      <x:c r="C136" s="257" t="str">
        <x:v>​09976420849</x:v>
      </x:c>
      <x:c r="D136" s="256" t="str">
        <x:v>Baseline — already approved</x:v>
      </x:c>
      <x:c r="E136" s="263" t="n">
        <x:v>46247.41746527778</x:v>
      </x:c>
    </x:row>
    <x:row r="137">
      <x:c r="A137" s="256" t="str">
        <x:v>GCash</x:v>
      </x:c>
      <x:c r="B137" s="257" t="str">
        <x:v>f1797d1d-603d-4fa0-97eb-58cd091e8f7e</x:v>
      </x:c>
      <x:c r="C137" s="257" t="str">
        <x:v>​09850106834</x:v>
      </x:c>
      <x:c r="D137" s="256" t="str">
        <x:v>Baseline — already approved</x:v>
      </x:c>
      <x:c r="E137" s="263" t="n">
        <x:v>46247.41746527778</x:v>
      </x:c>
    </x:row>
    <x:row r="138">
      <x:c r="A138" s="256" t="str">
        <x:v>GCash</x:v>
      </x:c>
      <x:c r="B138" s="257" t="str">
        <x:v>9fea9f14-d8c3-4656-8235-ed1fa7f1a842</x:v>
      </x:c>
      <x:c r="C138" s="257" t="str">
        <x:v>​09487367746</x:v>
      </x:c>
      <x:c r="D138" s="256" t="str">
        <x:v>Baseline — already approved</x:v>
      </x:c>
      <x:c r="E138" s="263" t="n">
        <x:v>46247.41746527778</x:v>
      </x:c>
    </x:row>
    <x:row r="139">
      <x:c r="A139" s="256" t="str">
        <x:v>GCash</x:v>
      </x:c>
      <x:c r="B139" s="257" t="str">
        <x:v>adcdaf63-5923-401a-a61a-a837d798573c</x:v>
      </x:c>
      <x:c r="C139" s="257" t="str">
        <x:v>​09107191973</x:v>
      </x:c>
      <x:c r="D139" s="256" t="str">
        <x:v>Baseline — already approved</x:v>
      </x:c>
      <x:c r="E139" s="263" t="n">
        <x:v>46247.41746527778</x:v>
      </x:c>
    </x:row>
    <x:row r="140">
      <x:c r="A140" s="256" t="str">
        <x:v>GCash</x:v>
      </x:c>
      <x:c r="B140" s="257" t="str">
        <x:v>49a4765f-82b9-4d55-861a-07036c7bfd77</x:v>
      </x:c>
      <x:c r="C140" s="257" t="str">
        <x:v>​09065970361</x:v>
      </x:c>
      <x:c r="D140" s="256" t="str">
        <x:v>Baseline — already approved</x:v>
      </x:c>
      <x:c r="E140" s="263" t="n">
        <x:v>46247.41746527778</x:v>
      </x:c>
    </x:row>
    <x:row r="141">
      <x:c r="A141" s="256" t="str">
        <x:v>GCash</x:v>
      </x:c>
      <x:c r="B141" s="257" t="str">
        <x:v>91c33971-b617-4800-8e0b-d3c1c217ae93</x:v>
      </x:c>
      <x:c r="C141" s="257" t="str">
        <x:v>​09338191854</x:v>
      </x:c>
      <x:c r="D141" s="256" t="str">
        <x:v>Baseline — already approved</x:v>
      </x:c>
      <x:c r="E141" s="263" t="n">
        <x:v>46247.41746527778</x:v>
      </x:c>
    </x:row>
    <x:row r="142">
      <x:c r="A142" s="256" t="str">
        <x:v>GCash</x:v>
      </x:c>
      <x:c r="B142" s="257" t="str">
        <x:v>87720e23-2b11-4189-85d6-4d2fc5f29c64</x:v>
      </x:c>
      <x:c r="C142" s="257" t="str">
        <x:v>​09087955544</x:v>
      </x:c>
      <x:c r="D142" s="256" t="str">
        <x:v>Baseline — already approved</x:v>
      </x:c>
      <x:c r="E142" s="263" t="n">
        <x:v>46247.41746527778</x:v>
      </x:c>
    </x:row>
    <x:row r="143">
      <x:c r="A143" s="256" t="str">
        <x:v>GCash</x:v>
      </x:c>
      <x:c r="B143" s="257" t="str">
        <x:v>ae6f1eb0-0a46-47e0-afec-c7cc2ef4f3cc</x:v>
      </x:c>
      <x:c r="C143" s="257" t="str">
        <x:v>​09926266665</x:v>
      </x:c>
      <x:c r="D143" s="256" t="str">
        <x:v>Baseline — already approved</x:v>
      </x:c>
      <x:c r="E143" s="263" t="n">
        <x:v>46247.41746527778</x:v>
      </x:c>
    </x:row>
    <x:row r="144">
      <x:c r="A144" s="256" t="str">
        <x:v>GCash</x:v>
      </x:c>
      <x:c r="B144" s="257" t="str">
        <x:v>fd55c3ba-0844-4201-8e1f-f67f04bc1133</x:v>
      </x:c>
      <x:c r="C144" s="257" t="str">
        <x:v>​09065970361</x:v>
      </x:c>
      <x:c r="D144" s="256" t="str">
        <x:v>Baseline — already approved</x:v>
      </x:c>
      <x:c r="E144" s="263" t="n">
        <x:v>46247.41746527778</x:v>
      </x:c>
    </x:row>
    <x:row r="145">
      <x:c r="A145" s="256" t="str">
        <x:v>GCash</x:v>
      </x:c>
      <x:c r="B145" s="257" t="str">
        <x:v>c7c8bf8f-10c9-4a8b-8d5d-285cec489e93</x:v>
      </x:c>
      <x:c r="C145" s="257" t="str">
        <x:v>​0926123956</x:v>
      </x:c>
      <x:c r="D145" s="256" t="str">
        <x:v>Baseline — already approved</x:v>
      </x:c>
      <x:c r="E145" s="263" t="n">
        <x:v>46247.41746527778</x:v>
      </x:c>
    </x:row>
    <x:row r="146">
      <x:c r="A146" s="256" t="str">
        <x:v>GCash</x:v>
      </x:c>
      <x:c r="B146" s="257" t="str">
        <x:v>667351e8-738e-4014-964b-1f9e9b1ece2c</x:v>
      </x:c>
      <x:c r="C146" s="257" t="str">
        <x:v>​09954108973</x:v>
      </x:c>
      <x:c r="D146" s="256" t="str">
        <x:v>Baseline — already approved</x:v>
      </x:c>
      <x:c r="E146" s="263" t="n">
        <x:v>46247.41746527778</x:v>
      </x:c>
    </x:row>
    <x:row r="147">
      <x:c r="A147" s="256" t="str">
        <x:v>GCash</x:v>
      </x:c>
      <x:c r="B147" s="257" t="str">
        <x:v>f3f83ed0-dc3a-4241-9a47-de7173c37d54</x:v>
      </x:c>
      <x:c r="C147" s="257" t="str">
        <x:v>​09605705185</x:v>
      </x:c>
      <x:c r="D147" s="256" t="str">
        <x:v>Baseline — already approved</x:v>
      </x:c>
      <x:c r="E147" s="263" t="n">
        <x:v>46247.41746527778</x:v>
      </x:c>
    </x:row>
    <x:row r="148">
      <x:c r="A148" s="256" t="str">
        <x:v>GCash</x:v>
      </x:c>
      <x:c r="B148" s="257" t="str">
        <x:v>75bd5af2-da43-4e57-9a68-39cc461dbeb0</x:v>
      </x:c>
      <x:c r="C148" s="257" t="str">
        <x:v>​09382208186</x:v>
      </x:c>
      <x:c r="D148" s="256" t="str">
        <x:v>Baseline — already approved</x:v>
      </x:c>
      <x:c r="E148" s="263" t="n">
        <x:v>46247.41746527778</x:v>
      </x:c>
    </x:row>
    <x:row r="149">
      <x:c r="A149" s="256" t="str">
        <x:v>GCash</x:v>
      </x:c>
      <x:c r="B149" s="257" t="str">
        <x:v>4e47fe57-51cd-44a1-8b30-e3bc0d920ccc</x:v>
      </x:c>
      <x:c r="C149" s="257" t="str">
        <x:v>​09926266665</x:v>
      </x:c>
      <x:c r="D149" s="256" t="str">
        <x:v>Baseline — already approved</x:v>
      </x:c>
      <x:c r="E149" s="263" t="n">
        <x:v>46247.41746527778</x:v>
      </x:c>
    </x:row>
    <x:row r="150">
      <x:c r="A150" s="256" t="str">
        <x:v>GCash</x:v>
      </x:c>
      <x:c r="B150" s="257" t="str">
        <x:v>389e26b0-6448-4d32-89fd-d4c6ba1d5480</x:v>
      </x:c>
      <x:c r="C150" s="257" t="str">
        <x:v>​09356477386</x:v>
      </x:c>
      <x:c r="D150" s="256" t="str">
        <x:v>Baseline — already approved</x:v>
      </x:c>
      <x:c r="E150" s="263" t="n">
        <x:v>46247.41746527778</x:v>
      </x:c>
    </x:row>
    <x:row r="151">
      <x:c r="A151" s="256" t="str">
        <x:v>GCash</x:v>
      </x:c>
      <x:c r="B151" s="257" t="str">
        <x:v>42f47c29-8791-44ba-966f-071f521c4e1b</x:v>
      </x:c>
      <x:c r="C151" s="257" t="str">
        <x:v>​09539870591</x:v>
      </x:c>
      <x:c r="D151" s="256" t="str">
        <x:v>Baseline — already approved</x:v>
      </x:c>
      <x:c r="E151" s="263" t="n">
        <x:v>46247.41746527778</x:v>
      </x:c>
    </x:row>
    <x:row r="152">
      <x:c r="A152" s="256" t="str">
        <x:v>GCash</x:v>
      </x:c>
      <x:c r="B152" s="257" t="str">
        <x:v>b50e684d-ab60-47d9-af14-a95b2ea4d28c</x:v>
      </x:c>
      <x:c r="C152" s="257" t="str">
        <x:v>​09274208401</x:v>
      </x:c>
      <x:c r="D152" s="256" t="str">
        <x:v>Baseline — already approved</x:v>
      </x:c>
      <x:c r="E152" s="263" t="n">
        <x:v>46247.41746527778</x:v>
      </x:c>
    </x:row>
    <x:row r="153">
      <x:c r="A153" s="256" t="str">
        <x:v>GCash</x:v>
      </x:c>
      <x:c r="B153" s="257" t="str">
        <x:v>cf577e3d-0e81-4fde-8e5d-fdc6cb3bcae1</x:v>
      </x:c>
      <x:c r="C153" s="257" t="str">
        <x:v>​9043743669412</x:v>
      </x:c>
      <x:c r="D153" s="256" t="str">
        <x:v>Baseline — already approved</x:v>
      </x:c>
      <x:c r="E153" s="263" t="n">
        <x:v>46247.41746527778</x:v>
      </x:c>
    </x:row>
    <x:row r="154">
      <x:c r="A154" s="256" t="str">
        <x:v>GCash</x:v>
      </x:c>
      <x:c r="B154" s="257" t="str">
        <x:v>83ca4618-58ec-40f3-98b3-eb78c7b81cee</x:v>
      </x:c>
      <x:c r="C154" s="257" t="str">
        <x:v>​09984898734</x:v>
      </x:c>
      <x:c r="D154" s="256" t="str">
        <x:v>Baseline — already approved</x:v>
      </x:c>
      <x:c r="E154" s="263" t="n">
        <x:v>46247.41746527778</x:v>
      </x:c>
    </x:row>
    <x:row r="155">
      <x:c r="A155" s="256" t="str">
        <x:v>GCash</x:v>
      </x:c>
      <x:c r="B155" s="257" t="str">
        <x:v>e3bc4cb9-198e-4d39-a364-3d7475afb80a</x:v>
      </x:c>
      <x:c r="C155" s="257" t="str">
        <x:v>​09606896292</x:v>
      </x:c>
      <x:c r="D155" s="256" t="str">
        <x:v>Baseline — already approved</x:v>
      </x:c>
      <x:c r="E155" s="263" t="n">
        <x:v>46247.41746527778</x:v>
      </x:c>
    </x:row>
    <x:row r="156">
      <x:c r="A156" s="256" t="str">
        <x:v>GCash</x:v>
      </x:c>
      <x:c r="B156" s="257" t="str">
        <x:v>71a2a54c-2539-430f-82e9-25642d5778d7</x:v>
      </x:c>
      <x:c r="C156" s="257" t="str">
        <x:v>​09083425184</x:v>
      </x:c>
      <x:c r="D156" s="256" t="str">
        <x:v>Baseline — already approved</x:v>
      </x:c>
      <x:c r="E156" s="263" t="n">
        <x:v>46247.41746527778</x:v>
      </x:c>
    </x:row>
    <x:row r="157">
      <x:c r="A157" s="256" t="str">
        <x:v>GCash</x:v>
      </x:c>
      <x:c r="B157" s="257" t="str">
        <x:v>1a331ebd-56c7-4cb5-b1cc-72adfc3881ec</x:v>
      </x:c>
      <x:c r="C157" s="257" t="str">
        <x:v>​09094382875</x:v>
      </x:c>
      <x:c r="D157" s="256" t="str">
        <x:v>Baseline — already approved</x:v>
      </x:c>
      <x:c r="E157" s="263" t="n">
        <x:v>46247.41746527778</x:v>
      </x:c>
    </x:row>
    <x:row r="158">
      <x:c r="A158" s="256" t="str">
        <x:v>GCash</x:v>
      </x:c>
      <x:c r="B158" s="257" t="str">
        <x:v>0a78cb16-b01c-41a3-a378-2e6aa5c11d47</x:v>
      </x:c>
      <x:c r="C158" s="257" t="str">
        <x:v>​09459685740</x:v>
      </x:c>
      <x:c r="D158" s="256" t="str">
        <x:v>Baseline — already approved</x:v>
      </x:c>
      <x:c r="E158" s="263" t="n">
        <x:v>46247.41746527778</x:v>
      </x:c>
    </x:row>
    <x:row r="159">
      <x:c r="A159" s="256" t="str">
        <x:v>GCash</x:v>
      </x:c>
      <x:c r="B159" s="257" t="str">
        <x:v>0dc19f63-414f-4b7f-9938-68556cc269d5</x:v>
      </x:c>
      <x:c r="C159" s="257" t="str">
        <x:v>+639456739281</x:v>
      </x:c>
      <x:c r="D159" s="256" t="str">
        <x:v>Baseline — already approved</x:v>
      </x:c>
      <x:c r="E159" s="263" t="n">
        <x:v>46247.41746527778</x:v>
      </x:c>
    </x:row>
    <x:row r="160">
      <x:c r="A160" s="256" t="str">
        <x:v>GCash</x:v>
      </x:c>
      <x:c r="B160" s="257" t="str">
        <x:v>19c98ea7-facc-4476-ae1f-afebd533a56d</x:v>
      </x:c>
      <x:c r="C160" s="257" t="str">
        <x:v>​09459685740</x:v>
      </x:c>
      <x:c r="D160" s="256" t="str">
        <x:v>Baseline — already approved</x:v>
      </x:c>
      <x:c r="E160" s="263" t="n">
        <x:v>46247.41746527778</x:v>
      </x:c>
    </x:row>
    <x:row r="161">
      <x:c r="A161" s="256" t="str">
        <x:v>GCash</x:v>
      </x:c>
      <x:c r="B161" s="257" t="str">
        <x:v>25bc5322-d802-4b4b-9e7f-8765852fc160</x:v>
      </x:c>
      <x:c r="C161" s="257" t="str">
        <x:v>​09393490302</x:v>
      </x:c>
      <x:c r="D161" s="256" t="str">
        <x:v>Baseline — already approved</x:v>
      </x:c>
      <x:c r="E161" s="263" t="n">
        <x:v>46247.41746527778</x:v>
      </x:c>
    </x:row>
    <x:row r="162">
      <x:c r="A162" s="256" t="str">
        <x:v>GCash</x:v>
      </x:c>
      <x:c r="B162" s="257" t="str">
        <x:v>e5539389-681b-49fb-8e96-8649fa5ece1d</x:v>
      </x:c>
      <x:c r="C162" s="257" t="str">
        <x:v>​09295528931</x:v>
      </x:c>
      <x:c r="D162" s="256" t="str">
        <x:v>Baseline — already approved</x:v>
      </x:c>
      <x:c r="E162" s="263" t="n">
        <x:v>46247.41746527778</x:v>
      </x:c>
    </x:row>
    <x:row r="163">
      <x:c r="A163" s="256" t="str">
        <x:v>GCash</x:v>
      </x:c>
      <x:c r="B163" s="257" t="str">
        <x:v>3682fee1-d3b7-4342-9082-0376567e9b81</x:v>
      </x:c>
      <x:c r="C163" s="257" t="str">
        <x:v>​09171439988</x:v>
      </x:c>
      <x:c r="D163" s="256" t="str">
        <x:v>Baseline — already approved</x:v>
      </x:c>
      <x:c r="E163" s="263" t="n">
        <x:v>46247.41746527778</x:v>
      </x:c>
    </x:row>
    <x:row r="164">
      <x:c r="A164" s="256" t="str">
        <x:v>GCash</x:v>
      </x:c>
      <x:c r="B164" s="257" t="str">
        <x:v>7f97ef4f-ec45-4b02-890e-3ee0f1eeedd2</x:v>
      </x:c>
      <x:c r="C164" s="257" t="str">
        <x:v>​9043816049101</x:v>
      </x:c>
      <x:c r="D164" s="256" t="str">
        <x:v>Baseline — already approved</x:v>
      </x:c>
      <x:c r="E164" s="263" t="n">
        <x:v>46247.41746527778</x:v>
      </x:c>
    </x:row>
    <x:row r="165">
      <x:c r="A165" s="256" t="str">
        <x:v>GCash</x:v>
      </x:c>
      <x:c r="B165" s="257" t="str">
        <x:v>5953b780-f296-4447-a595-c15907331f58</x:v>
      </x:c>
      <x:c r="C165" s="257" t="str">
        <x:v>​09177009786</x:v>
      </x:c>
      <x:c r="D165" s="256" t="str">
        <x:v>Baseline — already approved</x:v>
      </x:c>
      <x:c r="E165" s="263" t="n">
        <x:v>46247.41746527778</x:v>
      </x:c>
    </x:row>
    <x:row r="166">
      <x:c r="A166" s="256" t="str">
        <x:v>GCash</x:v>
      </x:c>
      <x:c r="B166" s="257" t="str">
        <x:v>db73efdd-6ec2-4b25-b506-e1372af51a96</x:v>
      </x:c>
      <x:c r="C166" s="257" t="str">
        <x:v>​09524873591</x:v>
      </x:c>
      <x:c r="D166" s="256" t="str">
        <x:v>Baseline — already approved</x:v>
      </x:c>
      <x:c r="E166" s="263" t="n">
        <x:v>46247.41746527778</x:v>
      </x:c>
    </x:row>
    <x:row r="167">
      <x:c r="A167" s="256" t="str">
        <x:v>GCash</x:v>
      </x:c>
      <x:c r="B167" s="257" t="str">
        <x:v>944e8782-effc-4bfd-9372-fec1836fd8eb</x:v>
      </x:c>
      <x:c r="C167" s="257" t="str">
        <x:v>​09283768102</x:v>
      </x:c>
      <x:c r="D167" s="256" t="str">
        <x:v>Baseline — already approved</x:v>
      </x:c>
      <x:c r="E167" s="263" t="n">
        <x:v>46247.41746527778</x:v>
      </x:c>
    </x:row>
    <x:row r="168">
      <x:c r="A168" s="256" t="str">
        <x:v>GCash</x:v>
      </x:c>
      <x:c r="B168" s="257" t="str">
        <x:v>fde81301-ab29-4f45-ab26-ae300c1f0579</x:v>
      </x:c>
      <x:c r="C168" s="257" t="str">
        <x:v>​09466895971</x:v>
      </x:c>
      <x:c r="D168" s="256" t="str">
        <x:v>Baseline — already approved</x:v>
      </x:c>
      <x:c r="E168" s="263" t="n">
        <x:v>46247.41746527778</x:v>
      </x:c>
    </x:row>
    <x:row r="169">
      <x:c r="A169" s="256" t="str">
        <x:v>GCash</x:v>
      </x:c>
      <x:c r="B169" s="257" t="str">
        <x:v>bc0c32c3-3e8d-4596-9011-311a52f51747</x:v>
      </x:c>
      <x:c r="C169" s="257" t="str">
        <x:v>​3043850877177</x:v>
      </x:c>
      <x:c r="D169" s="256" t="str">
        <x:v>Baseline — already approved</x:v>
      </x:c>
      <x:c r="E169" s="263" t="n">
        <x:v>46247.41746527778</x:v>
      </x:c>
    </x:row>
    <x:row r="170">
      <x:c r="A170" s="256" t="str">
        <x:v>GCash</x:v>
      </x:c>
      <x:c r="B170" s="257" t="str">
        <x:v>bbdce291-b6ea-4557-b0bf-6156eb89986f</x:v>
      </x:c>
      <x:c r="C170" s="257" t="str">
        <x:v>​3043851090222</x:v>
      </x:c>
      <x:c r="D170" s="256" t="str">
        <x:v>Baseline — already approved</x:v>
      </x:c>
      <x:c r="E170" s="263" t="n">
        <x:v>46247.41746527778</x:v>
      </x:c>
    </x:row>
    <x:row r="171">
      <x:c r="A171" s="256" t="str">
        <x:v>GCash</x:v>
      </x:c>
      <x:c r="B171" s="257" t="str">
        <x:v>bd888fcc-8240-404b-9222-db33bd77ee33</x:v>
      </x:c>
      <x:c r="C171" s="257" t="str">
        <x:v>​09158021711</x:v>
      </x:c>
      <x:c r="D171" s="256" t="str">
        <x:v>Baseline — already approved</x:v>
      </x:c>
      <x:c r="E171" s="263" t="n">
        <x:v>46247.41746527778</x:v>
      </x:c>
    </x:row>
    <x:row r="172">
      <x:c r="A172" s="256" t="str">
        <x:v>GCash</x:v>
      </x:c>
      <x:c r="B172" s="257" t="str">
        <x:v>4766116a-d98d-43a6-8257-693895132a09</x:v>
      </x:c>
      <x:c r="C172" s="257" t="str">
        <x:v>​09707162966</x:v>
      </x:c>
      <x:c r="D172" s="256" t="str">
        <x:v>Baseline — already approved</x:v>
      </x:c>
      <x:c r="E172" s="263" t="n">
        <x:v>46247.41746527778</x:v>
      </x:c>
    </x:row>
    <x:row r="173">
      <x:c r="A173" s="256" t="str">
        <x:v>GCash</x:v>
      </x:c>
      <x:c r="B173" s="257" t="str">
        <x:v>8c5ad528-0ef5-4858-9896-99e7714fb7e5</x:v>
      </x:c>
      <x:c r="C173" s="257" t="str">
        <x:v>​09318488111</x:v>
      </x:c>
      <x:c r="D173" s="256" t="str">
        <x:v>Baseline — already approved</x:v>
      </x:c>
      <x:c r="E173" s="263" t="n">
        <x:v>46247.41746527778</x:v>
      </x:c>
    </x:row>
    <x:row r="174">
      <x:c r="A174" s="256" t="str">
        <x:v>GCash</x:v>
      </x:c>
      <x:c r="B174" s="257" t="str">
        <x:v>cfd18e8e-2348-465e-9070-89213fdb7e56</x:v>
      </x:c>
      <x:c r="C174" s="257" t="str">
        <x:v>​09676210621</x:v>
      </x:c>
      <x:c r="D174" s="256" t="str">
        <x:v>Baseline — already approved</x:v>
      </x:c>
      <x:c r="E174" s="263" t="n">
        <x:v>46247.41746527778</x:v>
      </x:c>
    </x:row>
    <x:row r="175">
      <x:c r="A175" s="256" t="str">
        <x:v>GCash</x:v>
      </x:c>
      <x:c r="B175" s="257" t="str">
        <x:v>ee734e39-d898-454c-ab79-e7dd1a769975</x:v>
      </x:c>
      <x:c r="C175" s="257" t="str">
        <x:v>​09629602023</x:v>
      </x:c>
      <x:c r="D175" s="256" t="str">
        <x:v>Baseline — already approved</x:v>
      </x:c>
      <x:c r="E175" s="263" t="n">
        <x:v>46247.41746527778</x:v>
      </x:c>
    </x:row>
    <x:row r="176">
      <x:c r="A176" s="256" t="str">
        <x:v>GCash</x:v>
      </x:c>
      <x:c r="B176" s="257" t="str">
        <x:v>d9ac77ff-16a7-4df5-8608-e1f76d6db290</x:v>
      </x:c>
      <x:c r="C176" s="257" t="str">
        <x:v>​09984898734</x:v>
      </x:c>
      <x:c r="D176" s="256" t="str">
        <x:v>Baseline — already approved</x:v>
      </x:c>
      <x:c r="E176" s="263" t="n">
        <x:v>46247.41746527778</x:v>
      </x:c>
    </x:row>
    <x:row r="177">
      <x:c r="A177" s="256" t="str">
        <x:v>GCash</x:v>
      </x:c>
      <x:c r="B177" s="257" t="str">
        <x:v>f5309397-6d9d-43ec-aed2-33518dc0e6c3</x:v>
      </x:c>
      <x:c r="C177" s="257" t="str">
        <x:v>​09194088648</x:v>
      </x:c>
      <x:c r="D177" s="256" t="str">
        <x:v>Baseline — already approved</x:v>
      </x:c>
      <x:c r="E177" s="263" t="n">
        <x:v>46247.41746527778</x:v>
      </x:c>
    </x:row>
    <x:row r="178">
      <x:c r="A178" s="256" t="str">
        <x:v>GCash</x:v>
      </x:c>
      <x:c r="B178" s="257" t="str">
        <x:v>31c5969d-4ff1-46f7-a6dd-48d6dabaa618</x:v>
      </x:c>
      <x:c r="C178" s="257" t="str">
        <x:v>​09975311863</x:v>
      </x:c>
      <x:c r="D178" s="256" t="str">
        <x:v>Baseline — already approved</x:v>
      </x:c>
      <x:c r="E178" s="263" t="n">
        <x:v>46247.41746527778</x:v>
      </x:c>
    </x:row>
    <x:row r="179">
      <x:c r="A179" s="256" t="str">
        <x:v>GCash</x:v>
      </x:c>
      <x:c r="B179" s="257" t="str">
        <x:v>b6958a8c-efef-431f-a848-125cd3889d55</x:v>
      </x:c>
      <x:c r="C179" s="257" t="str">
        <x:v>​09676210621</x:v>
      </x:c>
      <x:c r="D179" s="256" t="str">
        <x:v>Baseline — already approved</x:v>
      </x:c>
      <x:c r="E179" s="263" t="n">
        <x:v>46247.41746527778</x:v>
      </x:c>
    </x:row>
    <x:row r="180">
      <x:c r="A180" s="256" t="str">
        <x:v>GCash</x:v>
      </x:c>
      <x:c r="B180" s="257" t="str">
        <x:v>18a6d7c3-fb23-4cd5-a130-46f792cacef2</x:v>
      </x:c>
      <x:c r="C180" s="257" t="str">
        <x:v>​09676210621</x:v>
      </x:c>
      <x:c r="D180" s="256" t="str">
        <x:v>Baseline — already approved</x:v>
      </x:c>
      <x:c r="E180" s="263" t="n">
        <x:v>46247.41746527778</x:v>
      </x:c>
    </x:row>
    <x:row r="181">
      <x:c r="A181" s="256" t="str">
        <x:v>GCash</x:v>
      </x:c>
      <x:c r="B181" s="257" t="str">
        <x:v>ffc3172e-655e-4ff5-b1cc-2311068985dd</x:v>
      </x:c>
      <x:c r="C181" s="257" t="str">
        <x:v>​09438742776</x:v>
      </x:c>
      <x:c r="D181" s="256" t="str">
        <x:v>Baseline — already approved</x:v>
      </x:c>
      <x:c r="E181" s="263" t="n">
        <x:v>46247.41746527778</x:v>
      </x:c>
    </x:row>
    <x:row r="182">
      <x:c r="A182" s="256" t="str">
        <x:v>GCash</x:v>
      </x:c>
      <x:c r="B182" s="257" t="str">
        <x:v>a80e1a8e-5b5b-49dd-a96b-954d7cd5e5ed</x:v>
      </x:c>
      <x:c r="C182" s="257" t="str">
        <x:v>​09503404273</x:v>
      </x:c>
      <x:c r="D182" s="256" t="str">
        <x:v>Baseline — already approved</x:v>
      </x:c>
      <x:c r="E182" s="263" t="n">
        <x:v>46247.41746527778</x:v>
      </x:c>
    </x:row>
    <x:row r="183">
      <x:c r="A183" s="256" t="str">
        <x:v>GCash</x:v>
      </x:c>
      <x:c r="B183" s="257" t="str">
        <x:v>dd969b5d-50d9-4b69-a47f-43e58674e62d</x:v>
      </x:c>
      <x:c r="C183" s="257" t="str">
        <x:v>​09605705185</x:v>
      </x:c>
      <x:c r="D183" s="256" t="str">
        <x:v>Baseline — already approved</x:v>
      </x:c>
      <x:c r="E183" s="263" t="n">
        <x:v>46247.41746527778</x:v>
      </x:c>
    </x:row>
    <x:row r="184">
      <x:c r="A184" s="256" t="str">
        <x:v>GCash</x:v>
      </x:c>
      <x:c r="B184" s="257" t="str">
        <x:v>451eeeec-9b35-4051-aacb-dae30ae20993</x:v>
      </x:c>
      <x:c r="C184" s="257" t="str">
        <x:v>​0457659324</x:v>
      </x:c>
      <x:c r="D184" s="256" t="str">
        <x:v>Baseline — already approved</x:v>
      </x:c>
      <x:c r="E184" s="263" t="n">
        <x:v>46247.41746527778</x:v>
      </x:c>
    </x:row>
    <x:row r="185">
      <x:c r="A185" s="256" t="str">
        <x:v>GCash</x:v>
      </x:c>
      <x:c r="B185" s="257" t="str">
        <x:v>cdf8c9c0-2e5a-4d3e-b867-a3d907d839be</x:v>
      </x:c>
      <x:c r="C185" s="257" t="str">
        <x:v>​09066800709</x:v>
      </x:c>
      <x:c r="D185" s="256" t="str">
        <x:v>Baseline — already approved</x:v>
      </x:c>
      <x:c r="E185" s="263" t="n">
        <x:v>46247.41746527778</x:v>
      </x:c>
    </x:row>
    <x:row r="186">
      <x:c r="A186" s="256" t="str">
        <x:v>GCash</x:v>
      </x:c>
      <x:c r="B186" s="257" t="str">
        <x:v>1ed80111-27f0-482c-ba09-b33e828de579</x:v>
      </x:c>
      <x:c r="C186" s="257" t="str">
        <x:v>​09707162966</x:v>
      </x:c>
      <x:c r="D186" s="256" t="str">
        <x:v>Baseline — already approved</x:v>
      </x:c>
      <x:c r="E186" s="263" t="n">
        <x:v>46247.41746527778</x:v>
      </x:c>
    </x:row>
    <x:row r="187">
      <x:c r="A187" s="259" t="str">
        <x:v>Dodo</x:v>
      </x:c>
      <x:c r="B187" s="260" t="str">
        <x:v>cd5b291c-9d0e-4271-b8a7-e39c891ce2c1</x:v>
      </x:c>
      <x:c r="C187" s="260" t="str">
        <x:v>pay_0NkqxIqbmyZMRdWRsVLlp</x:v>
      </x:c>
      <x:c r="D187" s="259" t="str">
        <x:v>Baseline — already paid</x:v>
      </x:c>
      <x:c r="E187" s="264" t="n">
        <x:v>46247.41746527778</x:v>
      </x:c>
    </x:row>
    <x:row r="188">
      <x:c r="A188" s="45" t="str">
        <x:v>GCash</x:v>
      </x:c>
      <x:c r="B188" s="45" t="str">
        <x:v>0b717b2f-13bd-4893-bc35-9f091d8f2a15</x:v>
      </x:c>
      <x:c r="C188" s="697" t="str">
        <x:v>​7043927923008</x:v>
      </x:c>
      <x:c r="D188" s="45" t="str">
        <x:v>Tracked</x:v>
      </x:c>
      <x:c r="E188" s="265" t="n">
        <x:v>46247.5039059375</x:v>
      </x:c>
    </x:row>
    <x:row r="189">
      <x:c r="A189" s="45" t="str">
        <x:v>GCash</x:v>
      </x:c>
      <x:c r="B189" s="45" t="str">
        <x:v>a85b7f3e-0b24-442d-b377-0e2ea46d49a0</x:v>
      </x:c>
      <x:c r="C189" s="697" t="str">
        <x:v>​9043927937661</x:v>
      </x:c>
      <x:c r="D189" s="45" t="str">
        <x:v>Tracked</x:v>
      </x:c>
      <x:c r="E189" s="265" t="n">
        <x:v>46247.5039059375</x:v>
      </x:c>
    </x:row>
    <x:row r="190">
      <x:c r="A190" s="45" t="str">
        <x:v>GCash</x:v>
      </x:c>
      <x:c r="B190" s="45" t="str">
        <x:v>8e0e3c3f-20cc-4b54-98a3-9086c0e977ca</x:v>
      </x:c>
      <x:c r="C190" s="697" t="str">
        <x:v>​09274208401</x:v>
      </x:c>
      <x:c r="D190" s="45" t="str">
        <x:v>Tracked</x:v>
      </x:c>
      <x:c r="E190" s="265" t="n">
        <x:v>46248.023830300925</x:v>
      </x:c>
    </x:row>
    <x:row r="191">
      <x:c r="A191" s="45" t="str">
        <x:v>GCash</x:v>
      </x:c>
      <x:c r="B191" s="45" t="str">
        <x:v>8f3644b2-ed94-4863-9b1f-214bd5329a3d</x:v>
      </x:c>
      <x:c r="C191" s="697" t="str">
        <x:v>​09983412831</x:v>
      </x:c>
      <x:c r="D191" s="45" t="str">
        <x:v>Tracked</x:v>
      </x:c>
      <x:c r="E191" s="265" t="n">
        <x:v>46248.22496623843</x:v>
      </x:c>
    </x:row>
    <x:row r="192">
      <x:c r="A192" s="45" t="str">
        <x:v>GCash</x:v>
      </x:c>
      <x:c r="B192" s="45" t="str">
        <x:v>5a79a55a-2d32-4d1b-afa0-ad87bb6825ba</x:v>
      </x:c>
      <x:c r="C192" s="697" t="str">
        <x:v>​09283768102</x:v>
      </x:c>
      <x:c r="D192" s="45" t="str">
        <x:v>Tracked</x:v>
      </x:c>
      <x:c r="E192" s="265" t="n">
        <x:v>46248.41419989584</x:v>
      </x:c>
    </x:row>
    <x:row r="193">
      <x:c r="A193" s="45" t="str">
        <x:v>GCash</x:v>
      </x:c>
      <x:c r="B193" s="45" t="str">
        <x:v>ebf2feee-26b2-4a28-a9fa-bdf89edce735</x:v>
      </x:c>
      <x:c r="C193" s="697" t="str">
        <x:v>​09605705185</x:v>
      </x:c>
      <x:c r="D193" s="45" t="str">
        <x:v>Tracked</x:v>
      </x:c>
      <x:c r="E193" s="265" t="n">
        <x:v>46248.41419989584</x:v>
      </x:c>
    </x:row>
    <x:row r="194">
      <x:c r="A194" s="45" t="str">
        <x:v>GCash</x:v>
      </x:c>
      <x:c r="B194" s="45" t="str">
        <x:v>c5d0344d-2fe1-43c0-840f-a3952fa8e91f</x:v>
      </x:c>
      <x:c r="C194" s="697" t="str">
        <x:v>​4043981238107</x:v>
      </x:c>
      <x:c r="D194" s="45" t="str">
        <x:v>Tracked</x:v>
      </x:c>
      <x:c r="E194" s="265" t="n">
        <x:v>46249.56570238426</x:v>
      </x:c>
    </x:row>
    <x:row r="195">
      <x:c r="A195" s="45" t="str">
        <x:v>GCash</x:v>
      </x:c>
      <x:c r="B195" s="45" t="str">
        <x:v>2fc7678c-f7c0-4073-b914-224c69e92602</x:v>
      </x:c>
      <x:c r="C195" s="697" t="str">
        <x:v>​09943142353</x:v>
      </x:c>
      <x:c r="D195" s="45" t="str">
        <x:v>Tracked</x:v>
      </x:c>
      <x:c r="E195" s="265" t="n">
        <x:v>46249.56570238426</x:v>
      </x:c>
    </x:row>
    <x:row r="196">
      <x:c r="A196" s="45" t="str">
        <x:v>GCash</x:v>
      </x:c>
      <x:c r="B196" s="45" t="str">
        <x:v>7f16b0ef-bcb3-48f4-8f8b-b6e8b0dddb01</x:v>
      </x:c>
      <x:c r="C196" s="697" t="str">
        <x:v>​09468499302</x:v>
      </x:c>
      <x:c r="D196" s="45" t="str">
        <x:v>Tracked</x:v>
      </x:c>
      <x:c r="E196" s="265" t="n">
        <x:v>46249.56570238426</x:v>
      </x:c>
    </x:row>
    <x:row r="197">
      <x:c r="A197" s="45" t="str">
        <x:v>GCash</x:v>
      </x:c>
      <x:c r="B197" s="45" t="str">
        <x:v>1da7eb0c-ff3d-4d49-bcfc-b023436b7b5e</x:v>
      </x:c>
      <x:c r="C197" s="697" t="str">
        <x:v>​09094382875</x:v>
      </x:c>
      <x:c r="D197" s="45" t="str">
        <x:v>Tracked</x:v>
      </x:c>
      <x:c r="E197" s="265" t="n">
        <x:v>46249.654270914354</x:v>
      </x:c>
    </x:row>
    <x:row r="198">
      <x:c r="A198" s="45" t="str">
        <x:v>GCash</x:v>
      </x:c>
      <x:c r="B198" s="45" t="str">
        <x:v>7c15b961-3153-48cc-8005-9f90f73beebd</x:v>
      </x:c>
      <x:c r="C198" s="697" t="str">
        <x:v>​09761846436</x:v>
      </x:c>
      <x:c r="D198" s="45" t="str">
        <x:v>Tracked</x:v>
      </x:c>
      <x:c r="E198" s="265" t="n">
        <x:v>46250.22361756944</x:v>
      </x:c>
    </x:row>
    <x:row r="199">
      <x:c r="A199" s="45" t="str">
        <x:v>GCash</x:v>
      </x:c>
      <x:c r="B199" s="45" t="str">
        <x:v>9be50db7-e97e-4693-a4ff-d05bb6725d38</x:v>
      </x:c>
      <x:c r="C199" s="697" t="str">
        <x:v>​1044042</x:v>
      </x:c>
      <x:c r="D199" s="45" t="str">
        <x:v>Tracked</x:v>
      </x:c>
      <x:c r="E199" s="265" t="n">
        <x:v>46250.58791900463</x:v>
      </x:c>
    </x:row>
    <x:row r="200">
      <x:c r="A200" s="45" t="str">
        <x:v>GCash</x:v>
      </x:c>
      <x:c r="B200" s="45" t="str">
        <x:v>e9a6fcc5-1ad4-4c47-a934-d010e2d9ec02</x:v>
      </x:c>
      <x:c r="C200" s="45" t="str">
        <x:v>​09854758022</x:v>
      </x:c>
      <x:c r="D200" s="45" t="str">
        <x:v>Tracked</x:v>
      </x:c>
      <x:c r="E200" s="265" t="n">
        <x:v>46250.62538142361</x:v>
      </x:c>
    </x:row>
    <x:row r="201">
      <x:c r="A201" s="45" t="str">
        <x:v>GCash</x:v>
      </x:c>
      <x:c r="B201" s="45" t="str">
        <x:v>eba076a6-8416-4103-9c4f-edb691af33d1</x:v>
      </x:c>
      <x:c r="C201" s="45" t="str">
        <x:v>09356477386</x:v>
      </x:c>
      <x:c r="D201" s="45" t="str">
        <x:v>Tracked</x:v>
      </x:c>
      <x:c r="E201" s="265" t="n">
        <x:v>46251.37322155092</x:v>
      </x:c>
    </x:row>
    <x:row r="202">
      <x:c r="A202" s="45" t="str">
        <x:v>GCash</x:v>
      </x:c>
      <x:c r="B202" s="45" t="str">
        <x:v>6f663aaa-0391-499d-a95d-597fc5bc0c7c</x:v>
      </x:c>
      <x:c r="C202" s="45" t="str">
        <x:v>09468499302</x:v>
      </x:c>
      <x:c r="D202" s="45" t="str">
        <x:v>Tracked</x:v>
      </x:c>
      <x:c r="E202" s="265" t="n">
        <x:v>46251.37322155092</x:v>
      </x:c>
    </x:row>
    <x:row r="203">
      <x:c r="A203" s="45" t="str">
        <x:v>GCash</x:v>
      </x:c>
      <x:c r="B203" s="45" t="str">
        <x:v>3c39a399-7a42-4bfd-9471-c2861f1c8f3a</x:v>
      </x:c>
      <x:c r="C203" s="45" t="str">
        <x:v>09926266665</x:v>
      </x:c>
      <x:c r="D203" s="45" t="str">
        <x:v>Tracked</x:v>
      </x:c>
      <x:c r="E203" s="265" t="n">
        <x:v>46251.37322155092</x:v>
      </x:c>
    </x:row>
    <x:row r="204">
      <x:c r="A204" s="45" t="str">
        <x:v>GCash</x:v>
      </x:c>
      <x:c r="B204" s="45" t="str">
        <x:v>2ea2f426-6799-49bb-ab4d-82f37df91085</x:v>
      </x:c>
      <x:c r="C204" s="45" t="str">
        <x:v>09984898734</x:v>
      </x:c>
      <x:c r="D204" s="45" t="str">
        <x:v>Tracked</x:v>
      </x:c>
      <x:c r="E204" s="265" t="n">
        <x:v>46251.37322155092</x:v>
      </x:c>
    </x:row>
    <x:row r="205">
      <x:c r="A205" s="45" t="str">
        <x:v>GCash</x:v>
      </x:c>
      <x:c r="B205" s="45" t="str">
        <x:v>9e39dfe0-2a64-4bd4-b6b8-fa88db770c7e</x:v>
      </x:c>
      <x:c r="C205" s="45" t="str">
        <x:v>09605705185</x:v>
      </x:c>
      <x:c r="D205" s="45" t="str">
        <x:v>Tracked</x:v>
      </x:c>
      <x:c r="E205" s="265" t="n">
        <x:v>46251.37322155092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6" hidden="0" customWidth="1"/>
    <x:col min="3" max="3" width="22" hidden="0" customWidth="1"/>
    <x:col min="4" max="4" width="29" hidden="0" customWidth="1"/>
    <x:col min="5" max="5" width="14" hidden="0" customWidth="1"/>
    <x:col min="6" max="6" width="27" hidden="0" customWidth="1"/>
    <x:col min="7" max="7" width="14" hidden="0" customWidth="1"/>
    <x:col min="8" max="8" width="17" hidden="0" customWidth="1"/>
    <x:col min="9" max="9" width="19" hidden="0" customWidth="1"/>
    <x:col min="10" max="10" width="19" hidden="0" customWidth="1"/>
    <x:col min="11" max="11" width="20" hidden="0" customWidth="1"/>
    <x:col min="12" max="12" width="19" hidden="0" customWidth="1"/>
  </x:cols>
  <x:sheetData>
    <x:row r="1" ht="32" customHeight="1">
      <x:c r="A1" s="207" t="str">
        <x:v>Syncraft — Full Service Cost Model</x:v>
      </x:c>
      <x:c r="B1" s="207"/>
      <x:c r="C1" s="207"/>
      <x:c r="D1" s="207"/>
      <x:c r="E1" s="207"/>
      <x:c r="F1" s="207"/>
      <x:c r="G1" s="207"/>
      <x:c r="H1" s="207"/>
      <x:c r="I1" s="207"/>
      <x:c r="J1" s="207"/>
      <x:c r="K1" s="207"/>
      <x:c r="L1" s="207"/>
    </x:row>
    <x:row r="2" ht="28" customHeight="1">
      <x:c r="A2" s="208" t="str">
        <x:v>All consumer services included. Fixed prices come from provider pricing; compute and megapixel inputs use successful Syncraft requests from the last 30 days.</x:v>
      </x:c>
      <x:c r="B2" s="208"/>
      <x:c r="C2" s="208"/>
      <x:c r="D2" s="208"/>
      <x:c r="E2" s="208"/>
      <x:c r="F2" s="208"/>
      <x:c r="G2" s="208"/>
      <x:c r="H2" s="208"/>
      <x:c r="I2" s="208"/>
      <x:c r="J2" s="208"/>
      <x:c r="K2" s="208"/>
      <x:c r="L2" s="208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</x:row>
    <x:row r="4" ht="22" customHeight="1">
      <x:c r="A4" s="209" t="str">
        <x:v>PROVIDER PRICE &amp; BUFFER INPUTS</x:v>
      </x:c>
      <x:c r="B4" s="209"/>
      <x:c r="C4" s="209"/>
      <x:c r="D4" s="209"/>
      <x:c r="E4" s="45"/>
      <x:c r="F4" s="45"/>
      <x:c r="G4" s="45"/>
      <x:c r="H4" s="45"/>
      <x:c r="I4" s="45"/>
      <x:c r="J4" s="45"/>
      <x:c r="K4" s="45"/>
      <x:c r="L4" s="45"/>
    </x:row>
    <x:row r="5">
      <x:c r="A5" s="210" t="str">
        <x:v>Input</x:v>
      </x:c>
      <x:c r="B5" s="210" t="str">
        <x:v>Value</x:v>
      </x:c>
      <x:c r="C5" s="210" t="str">
        <x:v>Basis</x:v>
      </x:c>
      <x:c r="D5" s="210" t="str">
        <x:v>Additional provider</x:v>
      </x:c>
      <x:c r="E5" s="210" t="str">
        <x:v>Value</x:v>
      </x:c>
      <x:c r="F5" s="210" t="str">
        <x:v>Basis</x:v>
      </x:c>
      <x:c r="G5" s="45"/>
      <x:c r="H5" s="45"/>
      <x:c r="I5" s="45"/>
      <x:c r="J5" s="45"/>
      <x:c r="K5" s="45"/>
      <x:c r="L5" s="45"/>
    </x:row>
    <x:row r="6">
      <x:c r="A6" s="45" t="str">
        <x:v>USD / PHP working rate</x:v>
      </x:c>
      <x:c r="B6" s="211" t="n">
        <x:v>62</x:v>
      </x:c>
      <x:c r="C6" s="153" t="str">
        <x:v>Editable conservative rate</x:v>
      </x:c>
      <x:c r="D6" s="153" t="str">
        <x:v>Recraft vectorization</x:v>
      </x:c>
      <x:c r="E6" s="245" t="n">
        <x:v>0.01</x:v>
      </x:c>
      <x:c r="F6" s="153" t="str">
        <x:v>USD / request</x:v>
      </x:c>
      <x:c r="G6" s="45"/>
      <x:c r="H6" s="45"/>
      <x:c r="I6" s="45"/>
      <x:c r="J6" s="45"/>
      <x:c r="K6" s="45"/>
      <x:c r="L6" s="45"/>
    </x:row>
    <x:row r="7">
      <x:c r="A7" s="45" t="str">
        <x:v>Safety buffer</x:v>
      </x:c>
      <x:c r="B7" s="213" t="n">
        <x:v>0.2</x:v>
      </x:c>
      <x:c r="C7" s="153" t="str">
        <x:v>FX, mix and cost volatility</x:v>
      </x:c>
      <x:c r="D7" s="153" t="str">
        <x:v>ESRGAN avg successful duration</x:v>
      </x:c>
      <x:c r="E7" s="246" t="n">
        <x:v>7.6622</x:v>
      </x:c>
      <x:c r="F7" s="153" t="str">
        <x:v>seconds; 1,171 successes</x:v>
      </x:c>
      <x:c r="G7" s="45"/>
      <x:c r="H7" s="45"/>
      <x:c r="I7" s="45"/>
      <x:c r="J7" s="45"/>
      <x:c r="K7" s="45"/>
      <x:c r="L7" s="45"/>
    </x:row>
    <x:row r="8">
      <x:c r="A8" s="45" t="str">
        <x:v>Nano Banana Pro</x:v>
      </x:c>
      <x:c r="B8" s="215" t="n">
        <x:v>0.15</x:v>
      </x:c>
      <x:c r="C8" s="153" t="str">
        <x:v>USD / successful image</x:v>
      </x:c>
      <x:c r="D8" s="153" t="str">
        <x:v>Clarity avg successful output</x:v>
      </x:c>
      <x:c r="E8" s="246" t="n">
        <x:v>7.0214</x:v>
      </x:c>
      <x:c r="F8" s="153" t="str">
        <x:v>MP; 33 successes</x:v>
      </x:c>
      <x:c r="G8" s="45"/>
      <x:c r="H8" s="45"/>
      <x:c r="I8" s="45"/>
      <x:c r="J8" s="45"/>
      <x:c r="K8" s="45"/>
      <x:c r="L8" s="45"/>
    </x:row>
    <x:row r="9">
      <x:c r="A9" s="45" t="str">
        <x:v>ESRGAN</x:v>
      </x:c>
      <x:c r="B9" s="215" t="n">
        <x:v>0.00111</x:v>
      </x:c>
      <x:c r="C9" s="153" t="str">
        <x:v>USD / compute second</x:v>
      </x:c>
      <x:c r="D9" s="153" t="str">
        <x:v>Clarity max observed output</x:v>
      </x:c>
      <x:c r="E9" s="246" t="n">
        <x:v>32.576</x:v>
      </x:c>
      <x:c r="F9" s="153" t="str">
        <x:v>MP; size-risk stress input</x:v>
      </x:c>
      <x:c r="G9" s="45"/>
      <x:c r="H9" s="45"/>
      <x:c r="I9" s="45"/>
      <x:c r="J9" s="45"/>
      <x:c r="K9" s="45"/>
      <x:c r="L9" s="45"/>
    </x:row>
    <x:row r="10">
      <x:c r="A10" s="45" t="str">
        <x:v>Clarity Upscaler</x:v>
      </x:c>
      <x:c r="B10" s="215" t="n">
        <x:v>0.03</x:v>
      </x:c>
      <x:c r="C10" s="153" t="str">
        <x:v>USD / output megapixel</x:v>
      </x:c>
      <x:c r="D10" s="153" t="str">
        <x:v>BiRefNet avg successful duration</x:v>
      </x:c>
      <x:c r="E10" s="246" t="n">
        <x:v>0.9565</x:v>
      </x:c>
      <x:c r="F10" s="153" t="str">
        <x:v>seconds; 31 successes</x:v>
      </x:c>
      <x:c r="G10" s="45"/>
      <x:c r="H10" s="45"/>
      <x:c r="I10" s="45"/>
      <x:c r="J10" s="45"/>
      <x:c r="K10" s="45"/>
      <x:c r="L10" s="45"/>
    </x:row>
    <x:row r="11">
      <x:c r="A11" s="45" t="str">
        <x:v>BiRefNet</x:v>
      </x:c>
      <x:c r="B11" s="216" t="n">
        <x:v>0.0008</x:v>
      </x:c>
      <x:c r="C11" s="153" t="str">
        <x:v>USD / compute second</x:v>
      </x:c>
      <x:c r="D11" s="153" t="str">
        <x:v>As-of</x:v>
      </x:c>
      <x:c r="E11" s="247" t="n">
        <x:v>46247.429247685184</x:v>
      </x:c>
      <x:c r="F11" s="153" t="str">
        <x:v>Live audit timestamp</x:v>
      </x:c>
      <x:c r="G11" s="45"/>
      <x:c r="H11" s="45"/>
      <x:c r="I11" s="45"/>
      <x:c r="J11" s="45"/>
      <x:c r="K11" s="45"/>
      <x:c r="L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</x:row>
    <x:row r="13" ht="22" customHeight="1">
      <x:c r="A13" s="209" t="str">
        <x:v>SERVICE PIPELINES &amp; UNIT ECONOMICS</x:v>
      </x:c>
      <x:c r="B13" s="209"/>
      <x:c r="C13" s="209"/>
      <x:c r="D13" s="209"/>
      <x:c r="E13" s="209"/>
      <x:c r="F13" s="209"/>
      <x:c r="G13" s="209"/>
      <x:c r="H13" s="209"/>
      <x:c r="I13" s="209"/>
      <x:c r="J13" s="209"/>
      <x:c r="K13" s="209"/>
      <x:c r="L13" s="209"/>
    </x:row>
    <x:row r="14">
      <x:c r="A14" s="210" t="str">
        <x:v>Service</x:v>
      </x:c>
      <x:c r="B14" s="210" t="str">
        <x:v>Credits / job</x:v>
      </x:c>
      <x:c r="C14" s="210" t="str">
        <x:v>30-day jobs</x:v>
      </x:c>
      <x:c r="D14" s="210" t="str">
        <x:v>Nano images</x:v>
      </x:c>
      <x:c r="E14" s="210" t="str">
        <x:v>ESRGAN sec</x:v>
      </x:c>
      <x:c r="F14" s="210" t="str">
        <x:v>Clarity MP</x:v>
      </x:c>
      <x:c r="G14" s="210" t="str">
        <x:v>BiRefNet sec</x:v>
      </x:c>
      <x:c r="H14" s="210" t="str">
        <x:v>Recraft requests</x:v>
      </x:c>
      <x:c r="I14" s="210" t="str">
        <x:v>Provider USD / job</x:v>
      </x:c>
      <x:c r="J14" s="210" t="str">
        <x:v>Provider PHP / job</x:v>
      </x:c>
      <x:c r="K14" s="210" t="str">
        <x:v>PHP / Syncraft credit</x:v>
      </x:c>
      <x:c r="L14" s="210" t="str">
        <x:v>Normalized credit mix</x:v>
      </x:c>
    </x:row>
    <x:row r="15">
      <x:c r="A15" s="45" t="str">
        <x:v>Logo Extract + Garment</x:v>
      </x:c>
      <x:c r="B15" s="218" t="n">
        <x:v>12</x:v>
      </x:c>
      <x:c r="C15" s="218" t="n">
        <x:v>1178</x:v>
      </x:c>
      <x:c r="D15" s="219" t="n">
        <x:v>1</x:v>
      </x:c>
      <x:c r="E15" s="219" t="n">
        <x:v>7.6622</x:v>
      </x:c>
      <x:c r="F15" s="219" t="n">
        <x:v>0</x:v>
      </x:c>
      <x:c r="G15" s="219" t="n">
        <x:v>0</x:v>
      </x:c>
      <x:c r="H15" s="219" t="n">
        <x:v>1</x:v>
      </x:c>
      <x:c r="I15" s="220" t="n">
        <x:f>D15*$B$8+E15*$B$9+F15*$B$10+G15*$B$11+H15*$E$6</x:f>
        <x:v>0.168505042</x:v>
      </x:c>
      <x:c r="J15" s="65" t="n">
        <x:f>I15*$B$6</x:f>
        <x:v>10.447312604</x:v>
      </x:c>
      <x:c r="K15" s="65" t="n">
        <x:f>IF(B15=0,0,J15/B15)</x:f>
        <x:v>0.8706093836666667</x:v>
      </x:c>
      <x:c r="L15" s="66" t="n">
        <x:f>IF($B$23=0,0,B15*C15/$B$23)</x:f>
        <x:v>0.8561046511627907</x:v>
      </x:c>
    </x:row>
    <x:row r="16">
      <x:c r="A16" s="45" t="str">
        <x:v>Universal (full pipeline)</x:v>
      </x:c>
      <x:c r="B16" s="218" t="n">
        <x:v>24</x:v>
      </x:c>
      <x:c r="C16" s="218" t="n">
        <x:v>50</x:v>
      </x:c>
      <x:c r="D16" s="219" t="n">
        <x:v>1</x:v>
      </x:c>
      <x:c r="E16" s="219" t="n">
        <x:v>7.6622</x:v>
      </x:c>
      <x:c r="F16" s="219" t="n">
        <x:v>0</x:v>
      </x:c>
      <x:c r="G16" s="219" t="n">
        <x:v>0</x:v>
      </x:c>
      <x:c r="H16" s="219" t="n">
        <x:v>1</x:v>
      </x:c>
      <x:c r="I16" s="220" t="n">
        <x:f>D16*$B$8+E16*$B$9+F16*$B$10+G16*$B$11+H16*$E$6</x:f>
        <x:v>0.168505042</x:v>
      </x:c>
      <x:c r="J16" s="65" t="n">
        <x:f>I16*$B$6</x:f>
        <x:v>10.447312604</x:v>
      </x:c>
      <x:c r="K16" s="65" t="n">
        <x:f>IF(B16=0,0,J16/B16)</x:f>
        <x:v>0.43530469183333337</x:v>
      </x:c>
      <x:c r="L16" s="66" t="n">
        <x:f>IF($B$23=0,0,B16*C16/$B$23)</x:f>
        <x:v>0.07267441860465117</x:v>
      </x:c>
    </x:row>
    <x:row r="17">
      <x:c r="A17" s="45" t="str">
        <x:v>Image Upscaler</x:v>
      </x:c>
      <x:c r="B17" s="218" t="n">
        <x:v>12</x:v>
      </x:c>
      <x:c r="C17" s="218" t="n">
        <x:v>48</x:v>
      </x:c>
      <x:c r="D17" s="219" t="n">
        <x:v>0</x:v>
      </x:c>
      <x:c r="E17" s="219" t="n">
        <x:v>0</x:v>
      </x:c>
      <x:c r="F17" s="219" t="n">
        <x:v>7.0214</x:v>
      </x:c>
      <x:c r="G17" s="219" t="n">
        <x:v>0</x:v>
      </x:c>
      <x:c r="H17" s="219" t="n">
        <x:v>0</x:v>
      </x:c>
      <x:c r="I17" s="220" t="n">
        <x:f>D17*$B$8+E17*$B$9+F17*$B$10+G17*$B$11+H17*$E$6</x:f>
        <x:v>0.210642</x:v>
      </x:c>
      <x:c r="J17" s="65" t="n">
        <x:f>I17*$B$6</x:f>
        <x:v>13.059804</x:v>
      </x:c>
      <x:c r="K17" s="65" t="n">
        <x:f>IF(B17=0,0,J17/B17)</x:f>
        <x:v>1.088317</x:v>
      </x:c>
      <x:c r="L17" s="66" t="n">
        <x:f>IF($B$23=0,0,B17*C17/$B$23)</x:f>
        <x:v>0.03488372093023256</x:v>
      </x:c>
    </x:row>
    <x:row r="18">
      <x:c r="A18" s="45" t="str">
        <x:v>Background Remover</x:v>
      </x:c>
      <x:c r="B18" s="218" t="n">
        <x:v>12</x:v>
      </x:c>
      <x:c r="C18" s="218" t="n">
        <x:v>30</x:v>
      </x:c>
      <x:c r="D18" s="219" t="n">
        <x:v>0</x:v>
      </x:c>
      <x:c r="E18" s="219" t="n">
        <x:v>0</x:v>
      </x:c>
      <x:c r="F18" s="219" t="n">
        <x:v>0</x:v>
      </x:c>
      <x:c r="G18" s="219" t="n">
        <x:v>0.9565</x:v>
      </x:c>
      <x:c r="H18" s="219" t="n">
        <x:v>0</x:v>
      </x:c>
      <x:c r="I18" s="220" t="n">
        <x:f>D18*$B$8+E18*$B$9+F18*$B$10+G18*$B$11+H18*$E$6</x:f>
        <x:v>0.0007652000000000001</x:v>
      </x:c>
      <x:c r="J18" s="65" t="n">
        <x:f>I18*$B$6</x:f>
        <x:v>0.0474424</x:v>
      </x:c>
      <x:c r="K18" s="65" t="n">
        <x:f>IF(B18=0,0,J18/B18)</x:f>
        <x:v>0.0039535333333333336</x:v>
      </x:c>
      <x:c r="L18" s="66" t="n">
        <x:f>IF($B$23=0,0,B18*C18/$B$23)</x:f>
        <x:v>0.02180232558139535</x:v>
      </x:c>
    </x:row>
    <x:row r="19">
      <x:c r="A19" s="45" t="str">
        <x:v>Extend Design</x:v>
      </x:c>
      <x:c r="B19" s="218" t="n">
        <x:v>12</x:v>
      </x:c>
      <x:c r="C19" s="218" t="n">
        <x:v>20</x:v>
      </x:c>
      <x:c r="D19" s="219" t="n">
        <x:v>1</x:v>
      </x:c>
      <x:c r="E19" s="219" t="n">
        <x:v>0</x:v>
      </x:c>
      <x:c r="F19" s="219" t="n">
        <x:v>0</x:v>
      </x:c>
      <x:c r="G19" s="219" t="n">
        <x:v>0</x:v>
      </x:c>
      <x:c r="H19" s="219" t="n">
        <x:v>0</x:v>
      </x:c>
      <x:c r="I19" s="220" t="n">
        <x:f>D19*$B$8+E19*$B$9+F19*$B$10+G19*$B$11+H19*$E$6</x:f>
        <x:v>0.15</x:v>
      </x:c>
      <x:c r="J19" s="65" t="n">
        <x:f>I19*$B$6</x:f>
        <x:v>9.299999999999999</x:v>
      </x:c>
      <x:c r="K19" s="65" t="n">
        <x:f>IF(B19=0,0,J19/B19)</x:f>
        <x:v>0.7749999999999999</x:v>
      </x:c>
      <x:c r="L19" s="66" t="n">
        <x:f>IF($B$23=0,0,B19*C19/$B$23)</x:f>
        <x:v>0.014534883720930232</x:v>
      </x:c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</x:row>
    <x:row r="21" ht="22" customHeight="1">
      <x:c r="A21" s="209" t="str">
        <x:v>OVERALL RESERVE RESULTS</x:v>
      </x:c>
      <x:c r="B21" s="209"/>
      <x:c r="C21" s="209"/>
      <x:c r="D21" s="209"/>
      <x:c r="E21" s="209"/>
      <x:c r="F21" s="209"/>
      <x:c r="G21" s="45"/>
      <x:c r="H21" s="45"/>
      <x:c r="I21" s="45"/>
      <x:c r="J21" s="45"/>
      <x:c r="K21" s="45"/>
      <x:c r="L21" s="45"/>
    </x:row>
    <x:row r="22">
      <x:c r="A22" s="210" t="str">
        <x:v>Metric</x:v>
      </x:c>
      <x:c r="B22" s="210" t="str">
        <x:v>Value</x:v>
      </x:c>
      <x:c r="C22" s="210" t="str">
        <x:v>Meaning</x:v>
      </x:c>
      <x:c r="D22" s="45"/>
      <x:c r="E22" s="45"/>
      <x:c r="F22" s="45"/>
      <x:c r="G22" s="45"/>
      <x:c r="H22" s="45"/>
      <x:c r="I22" s="45"/>
      <x:c r="J22" s="45"/>
      <x:c r="K22" s="45"/>
      <x:c r="L22" s="45"/>
    </x:row>
    <x:row r="23">
      <x:c r="A23" s="153" t="str">
        <x:v>Normalized recent credits</x:v>
      </x:c>
      <x:c r="B23" s="248" t="n">
        <x:f>SUMPRODUCT(B15:B19,C15:C19)</x:f>
        <x:v>16512</x:v>
      </x:c>
      <x:c r="C23" s="153" t="str">
        <x:v>30-day job mix restated at current service charges</x:v>
      </x:c>
      <x:c r="D23" s="45"/>
      <x:c r="E23" s="45"/>
      <x:c r="F23" s="45"/>
      <x:c r="G23" s="45"/>
      <x:c r="H23" s="45"/>
      <x:c r="I23" s="45"/>
      <x:c r="J23" s="45"/>
      <x:c r="K23" s="45"/>
      <x:c r="L23" s="45"/>
    </x:row>
    <x:row r="24">
      <x:c r="A24" s="153" t="str">
        <x:v>Weighted provider spend</x:v>
      </x:c>
      <x:c r="B24" s="249" t="n">
        <x:f>SUMPRODUCT(C15:C19,I15:I19)</x:f>
        <x:v>220.057963576</x:v>
      </x:c>
      <x:c r="C24" s="153" t="str">
        <x:v>Estimated provider cost for that normalized mix</x:v>
      </x:c>
      <x:c r="D24" s="45"/>
      <x:c r="E24" s="45"/>
      <x:c r="F24" s="45"/>
      <x:c r="G24" s="45"/>
      <x:c r="H24" s="45"/>
      <x:c r="I24" s="45"/>
      <x:c r="J24" s="45"/>
      <x:c r="K24" s="45"/>
      <x:c r="L24" s="45"/>
    </x:row>
    <x:row r="25">
      <x:c r="A25" s="153" t="str">
        <x:v>Base blended cost / credit</x:v>
      </x:c>
      <x:c r="B25" s="250" t="n">
        <x:f>IF(B23=0,0,B24/B23*$B$6)</x:f>
        <x:v>0.8262835357141473</x:v>
      </x:c>
      <x:c r="C25" s="153" t="str">
        <x:v>All five services, no safety buffer</x:v>
      </x:c>
      <x:c r="D25" s="45"/>
      <x:c r="E25" s="45"/>
      <x:c r="F25" s="45"/>
      <x:c r="G25" s="45"/>
      <x:c r="H25" s="45"/>
      <x:c r="I25" s="45"/>
      <x:c r="J25" s="45"/>
      <x:c r="K25" s="45"/>
      <x:c r="L25" s="45"/>
    </x:row>
    <x:row r="26" ht="28" customHeight="1">
      <x:c r="A26" s="153" t="str">
        <x:v>Recommended operating reserve / credit</x:v>
      </x:c>
      <x:c r="B26" s="251" t="n">
        <x:f>B25*(1+$B$7)</x:f>
        <x:v>0.9915402428569766</x:v>
      </x:c>
      <x:c r="C26" s="153" t="str">
        <x:v>Blended cost plus 20% safety buffer</x:v>
      </x:c>
      <x:c r="D26" s="45"/>
      <x:c r="E26" s="45"/>
      <x:c r="F26" s="45"/>
      <x:c r="G26" s="45"/>
      <x:c r="H26" s="45"/>
      <x:c r="I26" s="45"/>
      <x:c r="J26" s="45"/>
      <x:c r="K26" s="45"/>
      <x:c r="L26" s="45"/>
    </x:row>
    <x:row r="27" ht="28" customHeight="1">
      <x:c r="A27" s="153" t="str">
        <x:v>Stress reserve / credit</x:v>
      </x:c>
      <x:c r="B27" s="252" t="n">
        <x:f>K17*(1+$B$7)</x:f>
        <x:v>1.3059804</x:v>
      </x:c>
      <x:c r="C27" s="153" t="str">
        <x:v>If every credit is used on average-size Upscaler</x:v>
      </x:c>
      <x:c r="D27" s="45"/>
      <x:c r="E27" s="45"/>
      <x:c r="F27" s="45"/>
      <x:c r="G27" s="45"/>
      <x:c r="H27" s="45"/>
      <x:c r="I27" s="45"/>
      <x:c r="J27" s="45"/>
      <x:c r="K27" s="45"/>
      <x:c r="L27" s="45"/>
    </x:row>
    <x:row r="28" ht="28" customHeight="1">
      <x:c r="A28" s="153" t="str">
        <x:v>Max-observed Upscaler reserve / credit</x:v>
      </x:c>
      <x:c r="B28" s="252" t="n">
        <x:f>IF(B17=0,0,$E$9*$B$10*$B$6/B17*(1+$B$7))</x:f>
        <x:v>6.059136</x:v>
      </x:c>
      <x:c r="C28" s="153" t="str">
        <x:v>Extreme size risk; requires MP cap or dynamic credits</x:v>
      </x:c>
      <x:c r="D28" s="45"/>
      <x:c r="E28" s="45"/>
      <x:c r="F28" s="45"/>
      <x:c r="G28" s="45"/>
      <x:c r="H28" s="45"/>
      <x:c r="I28" s="45"/>
      <x:c r="J28" s="45"/>
      <x:c r="K28" s="45"/>
      <x:c r="L28" s="45"/>
    </x:row>
    <x:row r="29">
      <x:c r="A29" s="153" t="str">
        <x:v>Reserve for current outstanding credits</x:v>
      </x:c>
      <x:c r="B29" s="250" t="n">
        <x:f>'Assumptions'!B12*B26</x:f>
        <x:v>8434.041305741443</x:v>
      </x:c>
      <x:c r="C29" s="153" t="str">
        <x:v>Recommended operating reserve target</x:v>
      </x:c>
      <x:c r="D29" s="45"/>
      <x:c r="E29" s="45"/>
      <x:c r="F29" s="45"/>
      <x:c r="G29" s="45"/>
      <x:c r="H29" s="45"/>
      <x:c r="I29" s="45"/>
      <x:c r="J29" s="45"/>
      <x:c r="K29" s="45"/>
      <x:c r="L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</x:row>
    <x:row r="32" ht="22" customHeight="1">
      <x:c r="A32" s="209" t="str">
        <x:v>PLAN PROFIT BY SERVICE — BEFORE FEES / REFUNDS / OPERATIONS</x:v>
      </x:c>
      <x:c r="B32" s="209"/>
      <x:c r="C32" s="209"/>
      <x:c r="D32" s="209"/>
      <x:c r="E32" s="209"/>
      <x:c r="F32" s="209"/>
      <x:c r="G32" s="209"/>
      <x:c r="H32" s="209"/>
      <x:c r="I32" s="209"/>
      <x:c r="J32" s="209"/>
      <x:c r="K32" s="45"/>
      <x:c r="L32" s="45"/>
    </x:row>
    <x:row r="33">
      <x:c r="A33" s="210" t="str">
        <x:v>Plan</x:v>
      </x:c>
      <x:c r="B33" s="210" t="str">
        <x:v>Plan Price</x:v>
      </x:c>
      <x:c r="C33" s="210" t="str">
        <x:v>Plan Credits</x:v>
      </x:c>
      <x:c r="D33" s="210" t="str">
        <x:v>Revenue / 12 cr</x:v>
      </x:c>
      <x:c r="E33" s="210" t="str">
        <x:v>Logo/Garment margin</x:v>
      </x:c>
      <x:c r="F33" s="210" t="str">
        <x:v>Upscaler avg margin</x:v>
      </x:c>
      <x:c r="G33" s="210" t="str">
        <x:v>BG Remover margin</x:v>
      </x:c>
      <x:c r="H33" s="210" t="str">
        <x:v>Extend margin</x:v>
      </x:c>
      <x:c r="I33" s="210" t="str">
        <x:v>Revenue / 24 cr</x:v>
      </x:c>
      <x:c r="J33" s="210" t="str">
        <x:v>Universal margin</x:v>
      </x:c>
      <x:c r="K33" s="45"/>
      <x:c r="L33" s="45"/>
    </x:row>
    <x:row r="34">
      <x:c r="A34" s="45" t="str">
        <x:v>Tingi</x:v>
      </x:c>
      <x:c r="B34" s="65" t="n">
        <x:f>'Assumptions'!C19</x:f>
        <x:v>60</x:v>
      </x:c>
      <x:c r="C34" s="218" t="n">
        <x:f>'Assumptions'!B19</x:f>
        <x:v>24</x:v>
      </x:c>
      <x:c r="D34" s="65" t="n">
        <x:f>IF(C34=0,0,B34/C34*12)</x:f>
        <x:v>30</x:v>
      </x:c>
      <x:c r="E34" s="65" t="n">
        <x:f>D34-$J$15</x:f>
        <x:v>19.552687396</x:v>
      </x:c>
      <x:c r="F34" s="65" t="n">
        <x:f>D34-$J$17</x:f>
        <x:v>16.940196</x:v>
      </x:c>
      <x:c r="G34" s="65" t="n">
        <x:f>D34-$J$18</x:f>
        <x:v>29.9525576</x:v>
      </x:c>
      <x:c r="H34" s="65" t="n">
        <x:f>D34-$J$19</x:f>
        <x:v>20.700000000000003</x:v>
      </x:c>
      <x:c r="I34" s="65" t="n">
        <x:f>IF(C34=0,0,B34/C34*24)</x:f>
        <x:v>60</x:v>
      </x:c>
      <x:c r="J34" s="65" t="n">
        <x:f>I34-$J$16</x:f>
        <x:v>49.552687395999996</x:v>
      </x:c>
      <x:c r="K34" s="45"/>
      <x:c r="L34" s="45"/>
    </x:row>
    <x:row r="35">
      <x:c r="A35" s="45" t="str">
        <x:v>Basic</x:v>
      </x:c>
      <x:c r="B35" s="65" t="n">
        <x:f>'Assumptions'!C20</x:f>
        <x:v>149</x:v>
      </x:c>
      <x:c r="C35" s="218" t="n">
        <x:f>'Assumptions'!B20</x:f>
        <x:v>60</x:v>
      </x:c>
      <x:c r="D35" s="65" t="n">
        <x:f>IF(C35=0,0,B35/C35*12)</x:f>
        <x:v>29.8</x:v>
      </x:c>
      <x:c r="E35" s="65" t="n">
        <x:f>D35-$J$15</x:f>
        <x:v>19.352687396</x:v>
      </x:c>
      <x:c r="F35" s="65" t="n">
        <x:f>D35-$J$17</x:f>
        <x:v>16.740196</x:v>
      </x:c>
      <x:c r="G35" s="65" t="n">
        <x:f>D35-$J$18</x:f>
        <x:v>29.7525576</x:v>
      </x:c>
      <x:c r="H35" s="65" t="n">
        <x:f>D35-$J$19</x:f>
        <x:v>20.5</x:v>
      </x:c>
      <x:c r="I35" s="65" t="n">
        <x:f>IF(C35=0,0,B35/C35*24)</x:f>
        <x:v>59.6</x:v>
      </x:c>
      <x:c r="J35" s="65" t="n">
        <x:f>I35-$J$16</x:f>
        <x:v>49.152687396000005</x:v>
      </x:c>
      <x:c r="K35" s="45"/>
      <x:c r="L35" s="45"/>
    </x:row>
    <x:row r="36">
      <x:c r="A36" s="45" t="str">
        <x:v>Starter</x:v>
      </x:c>
      <x:c r="B36" s="65" t="n">
        <x:f>'Assumptions'!C21</x:f>
        <x:v>299</x:v>
      </x:c>
      <x:c r="C36" s="218" t="n">
        <x:f>'Assumptions'!B21</x:f>
        <x:v>168</x:v>
      </x:c>
      <x:c r="D36" s="65" t="n">
        <x:f>IF(C36=0,0,B36/C36*12)</x:f>
        <x:v>21.357142857142854</x:v>
      </x:c>
      <x:c r="E36" s="65" t="n">
        <x:f>D36-$J$15</x:f>
        <x:v>10.909830253142854</x:v>
      </x:c>
      <x:c r="F36" s="65" t="n">
        <x:f>D36-$J$17</x:f>
        <x:v>8.297338857142854</x:v>
      </x:c>
      <x:c r="G36" s="65" t="n">
        <x:f>D36-$J$18</x:f>
        <x:v>21.309700457142853</x:v>
      </x:c>
      <x:c r="H36" s="65" t="n">
        <x:f>D36-$J$19</x:f>
        <x:v>12.057142857142855</x:v>
      </x:c>
      <x:c r="I36" s="65" t="n">
        <x:f>IF(C36=0,0,B36/C36*24)</x:f>
        <x:v>42.71428571428571</x:v>
      </x:c>
      <x:c r="J36" s="65" t="n">
        <x:f>I36-$J$16</x:f>
        <x:v>32.266973110285704</x:v>
      </x:c>
      <x:c r="K36" s="45"/>
      <x:c r="L36" s="45"/>
    </x:row>
    <x:row r="37">
      <x:c r="A37" s="45" t="str">
        <x:v>Pro</x:v>
      </x:c>
      <x:c r="B37" s="65" t="n">
        <x:f>'Assumptions'!C22</x:f>
        <x:v>499</x:v>
      </x:c>
      <x:c r="C37" s="218" t="n">
        <x:f>'Assumptions'!B22</x:f>
        <x:v>288</x:v>
      </x:c>
      <x:c r="D37" s="65" t="n">
        <x:f>IF(C37=0,0,B37/C37*12)</x:f>
        <x:v>20.791666666666664</x:v>
      </x:c>
      <x:c r="E37" s="65" t="n">
        <x:f>D37-$J$15</x:f>
        <x:v>10.344354062666664</x:v>
      </x:c>
      <x:c r="F37" s="65" t="n">
        <x:f>D37-$J$17</x:f>
        <x:v>7.7318626666666646</x:v>
      </x:c>
      <x:c r="G37" s="65" t="n">
        <x:f>D37-$J$18</x:f>
        <x:v>20.744224266666663</x:v>
      </x:c>
      <x:c r="H37" s="65" t="n">
        <x:f>D37-$J$19</x:f>
        <x:v>11.491666666666665</x:v>
      </x:c>
      <x:c r="I37" s="65" t="n">
        <x:f>IF(C37=0,0,B37/C37*24)</x:f>
        <x:v>41.58333333333333</x:v>
      </x:c>
      <x:c r="J37" s="65" t="n">
        <x:f>I37-$J$16</x:f>
        <x:v>31.136020729333328</x:v>
      </x:c>
      <x:c r="K37" s="45"/>
      <x:c r="L37" s="45"/>
    </x:row>
    <x:row r="38">
      <x:c r="A38" s="45" t="str">
        <x:v>Elite</x:v>
      </x:c>
      <x:c r="B38" s="65" t="n">
        <x:f>'Assumptions'!C23</x:f>
        <x:v>899</x:v>
      </x:c>
      <x:c r="C38" s="218" t="n">
        <x:f>'Assumptions'!B23</x:f>
        <x:v>528</x:v>
      </x:c>
      <x:c r="D38" s="65" t="n">
        <x:f>IF(C38=0,0,B38/C38*12)</x:f>
        <x:v>20.43181818181818</x:v>
      </x:c>
      <x:c r="E38" s="65" t="n">
        <x:f>D38-$J$15</x:f>
        <x:v>9.98450557781818</x:v>
      </x:c>
      <x:c r="F38" s="65" t="n">
        <x:f>D38-$J$17</x:f>
        <x:v>7.37201418181818</x:v>
      </x:c>
      <x:c r="G38" s="65" t="n">
        <x:f>D38-$J$18</x:f>
        <x:v>20.38437578181818</x:v>
      </x:c>
      <x:c r="H38" s="65" t="n">
        <x:f>D38-$J$19</x:f>
        <x:v>11.131818181818181</x:v>
      </x:c>
      <x:c r="I38" s="65" t="n">
        <x:f>IF(C38=0,0,B38/C38*24)</x:f>
        <x:v>40.86363636363636</x:v>
      </x:c>
      <x:c r="J38" s="65" t="n">
        <x:f>I38-$J$16</x:f>
        <x:v>30.41632375963636</x:v>
      </x:c>
      <x:c r="K38" s="45"/>
      <x:c r="L38" s="45"/>
    </x:row>
  </x:sheetData>
  <x:mergeCells>
    <x:mergeCell ref="A1:L1"/>
    <x:mergeCell ref="A2:L2"/>
    <x:mergeCell ref="A4:D4"/>
    <x:mergeCell ref="A13:L13"/>
    <x:mergeCell ref="A21:F21"/>
    <x:mergeCell ref="A32:J32"/>
  </x:mergeCells>
  <x:conditionalFormatting sqref="E34:J38">
    <x:cfRule type="cellIs" dxfId="8" priority="1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53621b111e4a49fb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  <x:col min="3" max="3" width="13" hidden="0" customWidth="1"/>
    <x:col min="4" max="4" width="19" hidden="0" customWidth="1"/>
    <x:col min="5" max="5" width="17" hidden="0" customWidth="1"/>
    <x:col min="6" max="6" width="20" hidden="0" customWidth="1"/>
    <x:col min="7" max="7" width="38" hidden="0" customWidth="1"/>
  </x:cols>
  <x:sheetData>
    <x:row r="1" ht="30" customHeight="1">
      <x:c r="A1" s="402" t="str">
        <x:v>Fal Purchase Tracker</x:v>
      </x:c>
      <x:c r="B1" s="402"/>
      <x:c r="C1" s="402"/>
      <x:c r="D1" s="402"/>
      <x:c r="E1" s="402"/>
      <x:c r="F1" s="402"/>
      <x:c r="G1" s="402"/>
    </x:row>
    <x:row r="2" ht="34" customHeight="1">
      <x:c r="A2" s="406" t="str">
        <x:v>Fal receipt amounts in USD are exact. Peso amounts below are estimates using the workbook USD/PHP rate; replace them only if you have the exact bank charge.</x:v>
      </x:c>
      <x:c r="B2" s="406"/>
      <x:c r="C2" s="406"/>
      <x:c r="D2" s="406"/>
      <x:c r="E2" s="406"/>
      <x:c r="F2" s="406"/>
      <x:c r="G2" s="406"/>
    </x:row>
    <x:row r="4">
      <x:c r="A4" s="401" t="str">
        <x:v>TRACKING SETTINGS</x:v>
      </x:c>
      <x:c r="B4" s="401"/>
      <x:c r="D4" s="401" t="str">
        <x:v>FAL CASH SUMMARY</x:v>
      </x:c>
      <x:c r="E4" s="401"/>
      <x:c r="F4" s="401"/>
      <x:c r="G4" s="401"/>
    </x:row>
    <x:row r="5">
      <x:c r="A5" s="410" t="str">
        <x:v>Tracking start</x:v>
      </x:c>
      <x:c r="B5" s="416" t="n">
        <x:v>46231</x:v>
      </x:c>
      <x:c r="D5" s="410" t="str">
        <x:v>Fal credits bought</x:v>
      </x:c>
      <x:c r="E5" s="441" t="n">
        <x:f>SUM(B13:B212)</x:f>
        <x:v>220</x:v>
      </x:c>
      <x:c r="F5" s="410" t="str">
        <x:v>PHP spent estimate</x:v>
      </x:c>
      <x:c r="G5" s="442" t="n">
        <x:f>SUM(D13:D212)</x:f>
        <x:v>13640</x:v>
      </x:c>
    </x:row>
    <x:row r="6">
      <x:c r="A6" s="410" t="str">
        <x:v>Opening Fal wallet (USD)</x:v>
      </x:c>
      <x:c r="B6" s="417" t="n">
        <x:v>0</x:v>
      </x:c>
      <x:c r="D6" s="410" t="str">
        <x:v>Fal credits used</x:v>
      </x:c>
      <x:c r="E6" s="441" t="n">
        <x:f>MAX(0,B6+E5-B7)</x:f>
        <x:v>169.35</x:v>
      </x:c>
      <x:c r="F6" s="410" t="str">
        <x:v>Current Fal wallet</x:v>
      </x:c>
      <x:c r="G6" s="441" t="n">
        <x:f>B7</x:f>
        <x:v>50.65</x:v>
      </x:c>
    </x:row>
    <x:row r="7">
      <x:c r="A7" s="410" t="str">
        <x:v>Current Fal wallet (USD)</x:v>
      </x:c>
      <x:c r="B7" s="36" t="n">
        <x:f>'Assumptions'!B13</x:f>
        <x:v>50.65</x:v>
      </x:c>
      <x:c r="D7" s="410" t="str">
        <x:v>Current wallet in PHP</x:v>
      </x:c>
      <x:c r="E7" s="442" t="n">
        <x:f>B7*'Assumptions'!B7</x:f>
        <x:v>3140.2999999999997</x:v>
      </x:c>
      <x:c r="F7" s="410" t="str">
        <x:v>Active-credit Fal cost</x:v>
      </x:c>
      <x:c r="G7" s="442" t="n">
        <x:f>(('Service Cost Model'!B24-('Service Cost Model'!E6*SUMPRODUCT('Service Cost Model'!C15:C19,'Service Cost Model'!H15:H19)))*'Service Cost Model'!B6/'Service Cost Model'!B23)*'Assumptions'!B12</x:f>
        <x:v>6636.160380753528</x:v>
      </x:c>
    </x:row>
    <x:row r="8">
      <x:c r="A8" s="410" t="str">
        <x:v>Usual top-up (USD)</x:v>
      </x:c>
      <x:c r="B8" s="418" t="n">
        <x:v>20</x:v>
      </x:c>
      <x:c r="D8" s="410" t="str">
        <x:v>Extra Fal cash needed</x:v>
      </x:c>
      <x:c r="E8" s="442" t="n">
        <x:f>MAX(0,G7-E7)</x:f>
        <x:v>3495.8603807535287</x:v>
      </x:c>
      <x:c r="F8" s="410" t="str">
        <x:v>PHP / USD rate</x:v>
      </x:c>
      <x:c r="G8" s="443" t="n">
        <x:f>'Assumptions'!B7</x:f>
        <x:v>62</x:v>
      </x:c>
    </x:row>
    <x:row r="9" ht="34" customHeight="1">
      <x:c r="A9" s="409" t="str">
        <x:v>All Fal receipts currently visible in the account are already listed below.</x:v>
      </x:c>
      <x:c r="B9" s="409"/>
    </x:row>
    <x:row r="11">
      <x:c r="A11" s="401" t="str">
        <x:v>TOP-UP HISTORY — YOU ONLY FILL THE BLUE/YELLOW CELLS</x:v>
      </x:c>
      <x:c r="B11" s="401"/>
      <x:c r="C11" s="401"/>
      <x:c r="D11" s="401"/>
      <x:c r="E11" s="401"/>
      <x:c r="F11" s="401"/>
      <x:c r="G11" s="401"/>
    </x:row>
    <x:row r="12" ht="34" customHeight="1">
      <x:c r="A12" s="428" t="str">
        <x:v>Date</x:v>
      </x:c>
      <x:c r="B12" s="428" t="str">
        <x:v>Fal Credits Bought (USD)</x:v>
      </x:c>
      <x:c r="C12" s="428" t="str">
        <x:v>PHP / USD</x:v>
      </x:c>
      <x:c r="D12" s="428" t="str">
        <x:v>PHP Paid / Estimate</x:v>
      </x:c>
      <x:c r="E12" s="428" t="str">
        <x:v>Payment Method</x:v>
      </x:c>
      <x:c r="F12" s="428" t="str">
        <x:v>Reference</x:v>
      </x:c>
      <x:c r="G12" s="428" t="str">
        <x:v>Notes</x:v>
      </x:c>
    </x:row>
    <x:row r="13">
      <x:c r="A13" s="440" t="n">
        <x:v>46248.385150462964</x:v>
      </x:c>
      <x:c r="B13" s="431" t="n">
        <x:v>20</x:v>
      </x:c>
      <x:c r="C13" s="439" t="n">
        <x:f>IF(OR(B13="",D13=""),"",D13/B13)</x:f>
        <x:v>62</x:v>
      </x:c>
      <x:c r="D13" s="433" t="n">
        <x:v>1240</x:v>
      </x:c>
      <x:c r="E13" s="412" t="str">
        <x:v>Card</x:v>
      </x:c>
      <x:c r="F13" s="412" t="str">
        <x:v>Fal receipt history</x:v>
      </x:c>
      <x:c r="G13" s="412" t="str">
        <x:v>Confirmed USD; PHP estimated at ₱62/USD</x:v>
      </x:c>
    </x:row>
    <x:row r="14">
      <x:c r="A14" s="440" t="n">
        <x:v>46247.05489583333</x:v>
      </x:c>
      <x:c r="B14" s="431" t="n">
        <x:v>20</x:v>
      </x:c>
      <x:c r="C14" s="439" t="n">
        <x:f>IF(OR(B14="",D14=""),"",D14/B14)</x:f>
        <x:v>62</x:v>
      </x:c>
      <x:c r="D14" s="433" t="n">
        <x:v>1240</x:v>
      </x:c>
      <x:c r="E14" s="412" t="str">
        <x:v>Card</x:v>
      </x:c>
      <x:c r="F14" s="412" t="str">
        <x:v>Fal receipt history</x:v>
      </x:c>
      <x:c r="G14" s="412" t="str">
        <x:v>Confirmed USD; PHP estimated at ₱62/USD</x:v>
      </x:c>
    </x:row>
    <x:row r="15">
      <x:c r="A15" s="440" t="n">
        <x:v>46245.275</x:v>
      </x:c>
      <x:c r="B15" s="431" t="n">
        <x:v>20</x:v>
      </x:c>
      <x:c r="C15" s="439" t="n">
        <x:f>IF(OR(B15="",D15=""),"",D15/B15)</x:f>
        <x:v>62</x:v>
      </x:c>
      <x:c r="D15" s="433" t="n">
        <x:v>1240</x:v>
      </x:c>
      <x:c r="E15" s="412" t="str">
        <x:v>Card</x:v>
      </x:c>
      <x:c r="F15" s="412" t="str">
        <x:v>Fal receipt history</x:v>
      </x:c>
      <x:c r="G15" s="412" t="str">
        <x:v>Confirmed USD; PHP estimated at ₱62/USD</x:v>
      </x:c>
    </x:row>
    <x:row r="16">
      <x:c r="A16" s="440" t="n">
        <x:v>46243.012662037036</x:v>
      </x:c>
      <x:c r="B16" s="431" t="n">
        <x:v>20</x:v>
      </x:c>
      <x:c r="C16" s="439" t="n">
        <x:f>IF(OR(B16="",D16=""),"",D16/B16)</x:f>
        <x:v>62</x:v>
      </x:c>
      <x:c r="D16" s="433" t="n">
        <x:v>1240</x:v>
      </x:c>
      <x:c r="E16" s="412" t="str">
        <x:v>Card</x:v>
      </x:c>
      <x:c r="F16" s="412" t="str">
        <x:v>Fal receipt history</x:v>
      </x:c>
      <x:c r="G16" s="412" t="str">
        <x:v>Confirmed USD; PHP estimated at ₱62/USD</x:v>
      </x:c>
    </x:row>
    <x:row r="17">
      <x:c r="A17" s="440" t="n">
        <x:v>46240.21376157407</x:v>
      </x:c>
      <x:c r="B17" s="431" t="n">
        <x:v>20</x:v>
      </x:c>
      <x:c r="C17" s="439" t="n">
        <x:f>IF(OR(B17="",D17=""),"",D17/B17)</x:f>
        <x:v>62</x:v>
      </x:c>
      <x:c r="D17" s="433" t="n">
        <x:v>1240</x:v>
      </x:c>
      <x:c r="E17" s="412" t="str">
        <x:v>Card</x:v>
      </x:c>
      <x:c r="F17" s="412" t="str">
        <x:v>Fal receipt history</x:v>
      </x:c>
      <x:c r="G17" s="412" t="str">
        <x:v>Confirmed USD; PHP estimated at ₱62/USD</x:v>
      </x:c>
    </x:row>
    <x:row r="18">
      <x:c r="A18" s="440" t="n">
        <x:v>46239.26960648148</x:v>
      </x:c>
      <x:c r="B18" s="431" t="n">
        <x:v>10</x:v>
      </x:c>
      <x:c r="C18" s="439" t="n">
        <x:f>IF(OR(B18="",D18=""),"",D18/B18)</x:f>
        <x:v>62</x:v>
      </x:c>
      <x:c r="D18" s="433" t="n">
        <x:v>620</x:v>
      </x:c>
      <x:c r="E18" s="412" t="str">
        <x:v>Card</x:v>
      </x:c>
      <x:c r="F18" s="412" t="str">
        <x:v>Fal receipt history</x:v>
      </x:c>
      <x:c r="G18" s="412" t="str">
        <x:v>Confirmed USD; PHP estimated at ₱62/USD</x:v>
      </x:c>
    </x:row>
    <x:row r="19">
      <x:c r="A19" s="440" t="n">
        <x:v>46236.01997685185</x:v>
      </x:c>
      <x:c r="B19" s="431" t="n">
        <x:v>20</x:v>
      </x:c>
      <x:c r="C19" s="439" t="n">
        <x:f>IF(OR(B19="",D19=""),"",D19/B19)</x:f>
        <x:v>62</x:v>
      </x:c>
      <x:c r="D19" s="433" t="n">
        <x:v>1240</x:v>
      </x:c>
      <x:c r="E19" s="412" t="str">
        <x:v>Card</x:v>
      </x:c>
      <x:c r="F19" s="412" t="str">
        <x:v>Fal receipt history</x:v>
      </x:c>
      <x:c r="G19" s="412" t="str">
        <x:v>Confirmed USD; PHP estimated at ₱62/USD</x:v>
      </x:c>
    </x:row>
    <x:row r="20">
      <x:c r="A20" s="440" t="n">
        <x:v>46233.32096064815</x:v>
      </x:c>
      <x:c r="B20" s="431" t="n">
        <x:v>20</x:v>
      </x:c>
      <x:c r="C20" s="439" t="n">
        <x:f>IF(OR(B20="",D20=""),"",D20/B20)</x:f>
        <x:v>62</x:v>
      </x:c>
      <x:c r="D20" s="433" t="n">
        <x:v>1240</x:v>
      </x:c>
      <x:c r="E20" s="412" t="str">
        <x:v>Card</x:v>
      </x:c>
      <x:c r="F20" s="412" t="str">
        <x:v>Fal receipt history</x:v>
      </x:c>
      <x:c r="G20" s="412" t="str">
        <x:v>Confirmed USD; PHP estimated at ₱62/USD</x:v>
      </x:c>
    </x:row>
    <x:row r="21">
      <x:c r="A21" s="440" t="n">
        <x:v>46232.14454861111</x:v>
      </x:c>
      <x:c r="B21" s="431" t="n">
        <x:v>10</x:v>
      </x:c>
      <x:c r="C21" s="439" t="n">
        <x:f>IF(OR(B21="",D21=""),"",D21/B21)</x:f>
        <x:v>62</x:v>
      </x:c>
      <x:c r="D21" s="433" t="n">
        <x:v>620</x:v>
      </x:c>
      <x:c r="E21" s="412" t="str">
        <x:v>Card</x:v>
      </x:c>
      <x:c r="F21" s="412" t="str">
        <x:v>Fal receipt history</x:v>
      </x:c>
      <x:c r="G21" s="412" t="str">
        <x:v>Confirmed USD; PHP estimated at ₱62/USD</x:v>
      </x:c>
    </x:row>
    <x:row r="22">
      <x:c r="A22" s="440" t="n">
        <x:v>46231.25686342592</x:v>
      </x:c>
      <x:c r="B22" s="431" t="n">
        <x:v>10</x:v>
      </x:c>
      <x:c r="C22" s="439" t="n">
        <x:f>IF(OR(B22="",D22=""),"",D22/B22)</x:f>
        <x:v>62</x:v>
      </x:c>
      <x:c r="D22" s="433" t="n">
        <x:v>620</x:v>
      </x:c>
      <x:c r="E22" s="412" t="str">
        <x:v>Card</x:v>
      </x:c>
      <x:c r="F22" s="412" t="str">
        <x:v>Fal receipt history</x:v>
      </x:c>
      <x:c r="G22" s="412" t="str">
        <x:v>Confirmed USD; PHP estimated at ₱62/USD</x:v>
      </x:c>
    </x:row>
    <x:row r="23">
      <x:c r="A23" s="430" t="n">
        <x:v>46251.42488064815</x:v>
      </x:c>
      <x:c r="B23" s="431" t="n">
        <x:v>50</x:v>
      </x:c>
      <x:c r="C23" s="439" t="n">
        <x:v>62</x:v>
      </x:c>
      <x:c r="D23" s="433" t="n">
        <x:v>3100</x:v>
      </x:c>
      <x:c r="E23" s="412" t="str">
        <x:v>Card / Business Cash</x:v>
      </x:c>
      <x:c r="F23" s="412" t="str">
        <x:v>Fal top-up ()</x:v>
      </x:c>
      <x:c r="G23" s="412" t="str">
        <x:v>Confirmed USD; deducted from Syncraft business cash</x:v>
      </x:c>
    </x:row>
    <x:row r="24">
      <x:c r="A24" s="430"/>
      <x:c r="B24" s="431"/>
      <x:c r="C24" s="439" t="str">
        <x:f>IF(OR(B24="",D24=""),"",D24/B24)</x:f>
      </x:c>
      <x:c r="D24" s="433"/>
      <x:c r="E24" s="412"/>
      <x:c r="F24" s="412"/>
      <x:c r="G24" s="412"/>
    </x:row>
    <x:row r="25">
      <x:c r="A25" s="430"/>
      <x:c r="B25" s="431"/>
      <x:c r="C25" s="439" t="str">
        <x:f>IF(OR(B25="",D25=""),"",D25/B25)</x:f>
      </x:c>
      <x:c r="D25" s="433"/>
      <x:c r="E25" s="412"/>
      <x:c r="F25" s="412"/>
      <x:c r="G25" s="412"/>
    </x:row>
    <x:row r="26">
      <x:c r="A26" s="430"/>
      <x:c r="B26" s="431"/>
      <x:c r="C26" s="439" t="str">
        <x:f>IF(OR(B26="",D26=""),"",D26/B26)</x:f>
      </x:c>
      <x:c r="D26" s="433"/>
      <x:c r="E26" s="412"/>
      <x:c r="F26" s="412"/>
      <x:c r="G26" s="412"/>
    </x:row>
    <x:row r="27">
      <x:c r="A27" s="430"/>
      <x:c r="B27" s="431"/>
      <x:c r="C27" s="439" t="str">
        <x:f>IF(OR(B27="",D27=""),"",D27/B27)</x:f>
      </x:c>
      <x:c r="D27" s="433"/>
      <x:c r="E27" s="412"/>
      <x:c r="F27" s="412"/>
      <x:c r="G27" s="412"/>
    </x:row>
    <x:row r="28">
      <x:c r="A28" s="430"/>
      <x:c r="B28" s="431"/>
      <x:c r="C28" s="439" t="str">
        <x:f>IF(OR(B28="",D28=""),"",D28/B28)</x:f>
      </x:c>
      <x:c r="D28" s="433"/>
      <x:c r="E28" s="412"/>
      <x:c r="F28" s="412"/>
      <x:c r="G28" s="412"/>
    </x:row>
    <x:row r="29">
      <x:c r="A29" s="430"/>
      <x:c r="B29" s="431"/>
      <x:c r="C29" s="439" t="str">
        <x:f>IF(OR(B29="",D29=""),"",D29/B29)</x:f>
      </x:c>
      <x:c r="D29" s="433"/>
      <x:c r="E29" s="412"/>
      <x:c r="F29" s="412"/>
      <x:c r="G29" s="412"/>
    </x:row>
    <x:row r="30">
      <x:c r="A30" s="430"/>
      <x:c r="B30" s="431"/>
      <x:c r="C30" s="439" t="str">
        <x:f>IF(OR(B30="",D30=""),"",D30/B30)</x:f>
      </x:c>
      <x:c r="D30" s="433"/>
      <x:c r="E30" s="412"/>
      <x:c r="F30" s="412"/>
      <x:c r="G30" s="412"/>
    </x:row>
    <x:row r="31">
      <x:c r="A31" s="430"/>
      <x:c r="B31" s="431"/>
      <x:c r="C31" s="439" t="str">
        <x:f>IF(OR(B31="",D31=""),"",D31/B31)</x:f>
      </x:c>
      <x:c r="D31" s="433"/>
      <x:c r="E31" s="412"/>
      <x:c r="F31" s="412"/>
      <x:c r="G31" s="412"/>
    </x:row>
    <x:row r="32">
      <x:c r="A32" s="430"/>
      <x:c r="B32" s="431"/>
      <x:c r="C32" s="439" t="str">
        <x:f>IF(OR(B32="",D32=""),"",D32/B32)</x:f>
      </x:c>
      <x:c r="D32" s="433"/>
      <x:c r="E32" s="412"/>
      <x:c r="F32" s="412"/>
      <x:c r="G32" s="412"/>
    </x:row>
    <x:row r="33">
      <x:c r="A33" s="430"/>
      <x:c r="B33" s="431"/>
      <x:c r="C33" s="439" t="str">
        <x:f>IF(OR(B33="",D33=""),"",D33/B33)</x:f>
      </x:c>
      <x:c r="D33" s="433"/>
      <x:c r="E33" s="412"/>
      <x:c r="F33" s="412"/>
      <x:c r="G33" s="412"/>
    </x:row>
    <x:row r="34">
      <x:c r="A34" s="430"/>
      <x:c r="B34" s="431"/>
      <x:c r="C34" s="439" t="str">
        <x:f>IF(OR(B34="",D34=""),"",D34/B34)</x:f>
      </x:c>
      <x:c r="D34" s="433"/>
      <x:c r="E34" s="412"/>
      <x:c r="F34" s="412"/>
      <x:c r="G34" s="412"/>
    </x:row>
    <x:row r="35">
      <x:c r="A35" s="430"/>
      <x:c r="B35" s="431"/>
      <x:c r="C35" s="439" t="str">
        <x:f>IF(OR(B35="",D35=""),"",D35/B35)</x:f>
      </x:c>
      <x:c r="D35" s="433"/>
      <x:c r="E35" s="412"/>
      <x:c r="F35" s="412"/>
      <x:c r="G35" s="412"/>
    </x:row>
    <x:row r="36">
      <x:c r="A36" s="430"/>
      <x:c r="B36" s="431"/>
      <x:c r="C36" s="439" t="str">
        <x:f>IF(OR(B36="",D36=""),"",D36/B36)</x:f>
      </x:c>
      <x:c r="D36" s="433"/>
      <x:c r="E36" s="412"/>
      <x:c r="F36" s="412"/>
      <x:c r="G36" s="412"/>
    </x:row>
    <x:row r="37">
      <x:c r="A37" s="430"/>
      <x:c r="B37" s="431"/>
      <x:c r="C37" s="439" t="str">
        <x:f>IF(OR(B37="",D37=""),"",D37/B37)</x:f>
      </x:c>
      <x:c r="D37" s="433"/>
      <x:c r="E37" s="412"/>
      <x:c r="F37" s="412"/>
      <x:c r="G37" s="412"/>
    </x:row>
    <x:row r="38">
      <x:c r="A38" s="430"/>
      <x:c r="B38" s="431"/>
      <x:c r="C38" s="439" t="str">
        <x:f>IF(OR(B38="",D38=""),"",D38/B38)</x:f>
      </x:c>
      <x:c r="D38" s="433"/>
      <x:c r="E38" s="412"/>
      <x:c r="F38" s="412"/>
      <x:c r="G38" s="412"/>
    </x:row>
    <x:row r="39">
      <x:c r="A39" s="430"/>
      <x:c r="B39" s="431"/>
      <x:c r="C39" s="439" t="str">
        <x:f>IF(OR(B39="",D39=""),"",D39/B39)</x:f>
      </x:c>
      <x:c r="D39" s="433"/>
      <x:c r="E39" s="412"/>
      <x:c r="F39" s="412"/>
      <x:c r="G39" s="412"/>
    </x:row>
    <x:row r="40">
      <x:c r="A40" s="430"/>
      <x:c r="B40" s="431"/>
      <x:c r="C40" s="439" t="str">
        <x:f>IF(OR(B40="",D40=""),"",D40/B40)</x:f>
      </x:c>
      <x:c r="D40" s="433"/>
      <x:c r="E40" s="412"/>
      <x:c r="F40" s="412"/>
      <x:c r="G40" s="412"/>
    </x:row>
    <x:row r="41">
      <x:c r="A41" s="430"/>
      <x:c r="B41" s="431"/>
      <x:c r="C41" s="439" t="str">
        <x:f>IF(OR(B41="",D41=""),"",D41/B41)</x:f>
      </x:c>
      <x:c r="D41" s="433"/>
      <x:c r="E41" s="412"/>
      <x:c r="F41" s="412"/>
      <x:c r="G41" s="412"/>
    </x:row>
    <x:row r="42">
      <x:c r="A42" s="430"/>
      <x:c r="B42" s="431"/>
      <x:c r="C42" s="439" t="str">
        <x:f>IF(OR(B42="",D42=""),"",D42/B42)</x:f>
      </x:c>
      <x:c r="D42" s="433"/>
      <x:c r="E42" s="412"/>
      <x:c r="F42" s="412"/>
      <x:c r="G42" s="412"/>
    </x:row>
    <x:row r="43">
      <x:c r="A43" s="430"/>
      <x:c r="B43" s="431"/>
      <x:c r="C43" s="439" t="str">
        <x:f>IF(OR(B43="",D43=""),"",D43/B43)</x:f>
      </x:c>
      <x:c r="D43" s="433"/>
      <x:c r="E43" s="412"/>
      <x:c r="F43" s="412"/>
      <x:c r="G43" s="412"/>
    </x:row>
    <x:row r="44">
      <x:c r="A44" s="430"/>
      <x:c r="B44" s="431"/>
      <x:c r="C44" s="439" t="str">
        <x:f>IF(OR(B44="",D44=""),"",D44/B44)</x:f>
      </x:c>
      <x:c r="D44" s="433"/>
      <x:c r="E44" s="412"/>
      <x:c r="F44" s="412"/>
      <x:c r="G44" s="412"/>
    </x:row>
    <x:row r="45">
      <x:c r="A45" s="430"/>
      <x:c r="B45" s="431"/>
      <x:c r="C45" s="439" t="str">
        <x:f>IF(OR(B45="",D45=""),"",D45/B45)</x:f>
      </x:c>
      <x:c r="D45" s="433"/>
      <x:c r="E45" s="412"/>
      <x:c r="F45" s="412"/>
      <x:c r="G45" s="412"/>
    </x:row>
    <x:row r="46">
      <x:c r="A46" s="430"/>
      <x:c r="B46" s="431"/>
      <x:c r="C46" s="439" t="str">
        <x:f>IF(OR(B46="",D46=""),"",D46/B46)</x:f>
      </x:c>
      <x:c r="D46" s="433"/>
      <x:c r="E46" s="412"/>
      <x:c r="F46" s="412"/>
      <x:c r="G46" s="412"/>
    </x:row>
    <x:row r="47">
      <x:c r="A47" s="430"/>
      <x:c r="B47" s="431"/>
      <x:c r="C47" s="439" t="str">
        <x:f>IF(OR(B47="",D47=""),"",D47/B47)</x:f>
      </x:c>
      <x:c r="D47" s="433"/>
      <x:c r="E47" s="412"/>
      <x:c r="F47" s="412"/>
      <x:c r="G47" s="412"/>
    </x:row>
    <x:row r="48">
      <x:c r="A48" s="430"/>
      <x:c r="B48" s="431"/>
      <x:c r="C48" s="439" t="str">
        <x:f>IF(OR(B48="",D48=""),"",D48/B48)</x:f>
      </x:c>
      <x:c r="D48" s="433"/>
      <x:c r="E48" s="412"/>
      <x:c r="F48" s="412"/>
      <x:c r="G48" s="412"/>
    </x:row>
    <x:row r="49">
      <x:c r="A49" s="430"/>
      <x:c r="B49" s="431"/>
      <x:c r="C49" s="439" t="str">
        <x:f>IF(OR(B49="",D49=""),"",D49/B49)</x:f>
      </x:c>
      <x:c r="D49" s="433"/>
      <x:c r="E49" s="412"/>
      <x:c r="F49" s="412"/>
      <x:c r="G49" s="412"/>
    </x:row>
    <x:row r="50">
      <x:c r="A50" s="430"/>
      <x:c r="B50" s="431"/>
      <x:c r="C50" s="439" t="str">
        <x:f>IF(OR(B50="",D50=""),"",D50/B50)</x:f>
      </x:c>
      <x:c r="D50" s="433"/>
      <x:c r="E50" s="412"/>
      <x:c r="F50" s="412"/>
      <x:c r="G50" s="412"/>
    </x:row>
    <x:row r="51">
      <x:c r="A51" s="430"/>
      <x:c r="B51" s="431"/>
      <x:c r="C51" s="439" t="str">
        <x:f>IF(OR(B51="",D51=""),"",D51/B51)</x:f>
      </x:c>
      <x:c r="D51" s="433"/>
      <x:c r="E51" s="412"/>
      <x:c r="F51" s="412"/>
      <x:c r="G51" s="412"/>
    </x:row>
    <x:row r="52">
      <x:c r="A52" s="430"/>
      <x:c r="B52" s="431"/>
      <x:c r="C52" s="439" t="str">
        <x:f>IF(OR(B52="",D52=""),"",D52/B52)</x:f>
      </x:c>
      <x:c r="D52" s="433"/>
      <x:c r="E52" s="412"/>
      <x:c r="F52" s="412"/>
      <x:c r="G52" s="412"/>
    </x:row>
    <x:row r="53">
      <x:c r="A53" s="430"/>
      <x:c r="B53" s="431"/>
      <x:c r="C53" s="439" t="str">
        <x:f>IF(OR(B53="",D53=""),"",D53/B53)</x:f>
      </x:c>
      <x:c r="D53" s="433"/>
      <x:c r="E53" s="412"/>
      <x:c r="F53" s="412"/>
      <x:c r="G53" s="412"/>
    </x:row>
    <x:row r="54">
      <x:c r="A54" s="430"/>
      <x:c r="B54" s="431"/>
      <x:c r="C54" s="439" t="str">
        <x:f>IF(OR(B54="",D54=""),"",D54/B54)</x:f>
      </x:c>
      <x:c r="D54" s="433"/>
      <x:c r="E54" s="412"/>
      <x:c r="F54" s="412"/>
      <x:c r="G54" s="412"/>
    </x:row>
    <x:row r="55">
      <x:c r="A55" s="430"/>
      <x:c r="B55" s="431"/>
      <x:c r="C55" s="439" t="str">
        <x:f>IF(OR(B55="",D55=""),"",D55/B55)</x:f>
      </x:c>
      <x:c r="D55" s="433"/>
      <x:c r="E55" s="412"/>
      <x:c r="F55" s="412"/>
      <x:c r="G55" s="412"/>
    </x:row>
    <x:row r="56">
      <x:c r="A56" s="430"/>
      <x:c r="B56" s="431"/>
      <x:c r="C56" s="439" t="str">
        <x:f>IF(OR(B56="",D56=""),"",D56/B56)</x:f>
      </x:c>
      <x:c r="D56" s="433"/>
      <x:c r="E56" s="412"/>
      <x:c r="F56" s="412"/>
      <x:c r="G56" s="412"/>
    </x:row>
    <x:row r="57">
      <x:c r="A57" s="430"/>
      <x:c r="B57" s="431"/>
      <x:c r="C57" s="439" t="str">
        <x:f>IF(OR(B57="",D57=""),"",D57/B57)</x:f>
      </x:c>
      <x:c r="D57" s="433"/>
      <x:c r="E57" s="412"/>
      <x:c r="F57" s="412"/>
      <x:c r="G57" s="412"/>
    </x:row>
    <x:row r="58">
      <x:c r="A58" s="430"/>
      <x:c r="B58" s="431"/>
      <x:c r="C58" s="439" t="str">
        <x:f>IF(OR(B58="",D58=""),"",D58/B58)</x:f>
      </x:c>
      <x:c r="D58" s="433"/>
      <x:c r="E58" s="412"/>
      <x:c r="F58" s="412"/>
      <x:c r="G58" s="412"/>
    </x:row>
    <x:row r="59">
      <x:c r="A59" s="430"/>
      <x:c r="B59" s="431"/>
      <x:c r="C59" s="439" t="str">
        <x:f>IF(OR(B59="",D59=""),"",D59/B59)</x:f>
      </x:c>
      <x:c r="D59" s="433"/>
      <x:c r="E59" s="412"/>
      <x:c r="F59" s="412"/>
      <x:c r="G59" s="412"/>
    </x:row>
    <x:row r="60">
      <x:c r="A60" s="430"/>
      <x:c r="B60" s="431"/>
      <x:c r="C60" s="439" t="str">
        <x:f>IF(OR(B60="",D60=""),"",D60/B60)</x:f>
      </x:c>
      <x:c r="D60" s="433"/>
      <x:c r="E60" s="412"/>
      <x:c r="F60" s="412"/>
      <x:c r="G60" s="412"/>
    </x:row>
    <x:row r="61">
      <x:c r="A61" s="430"/>
      <x:c r="B61" s="431"/>
      <x:c r="C61" s="439" t="str">
        <x:f>IF(OR(B61="",D61=""),"",D61/B61)</x:f>
      </x:c>
      <x:c r="D61" s="433"/>
      <x:c r="E61" s="412"/>
      <x:c r="F61" s="412"/>
      <x:c r="G61" s="412"/>
    </x:row>
    <x:row r="62">
      <x:c r="A62" s="430"/>
      <x:c r="B62" s="431"/>
      <x:c r="C62" s="439" t="str">
        <x:f>IF(OR(B62="",D62=""),"",D62/B62)</x:f>
      </x:c>
      <x:c r="D62" s="433"/>
      <x:c r="E62" s="412"/>
      <x:c r="F62" s="412"/>
      <x:c r="G62" s="412"/>
    </x:row>
    <x:row r="63">
      <x:c r="A63" s="430"/>
      <x:c r="B63" s="431"/>
      <x:c r="C63" s="439" t="str">
        <x:f>IF(OR(B63="",D63=""),"",D63/B63)</x:f>
      </x:c>
      <x:c r="D63" s="433"/>
      <x:c r="E63" s="412"/>
      <x:c r="F63" s="412"/>
      <x:c r="G63" s="412"/>
    </x:row>
    <x:row r="64">
      <x:c r="A64" s="430"/>
      <x:c r="B64" s="431"/>
      <x:c r="C64" s="439" t="str">
        <x:f>IF(OR(B64="",D64=""),"",D64/B64)</x:f>
      </x:c>
      <x:c r="D64" s="433"/>
      <x:c r="E64" s="412"/>
      <x:c r="F64" s="412"/>
      <x:c r="G64" s="412"/>
    </x:row>
    <x:row r="65">
      <x:c r="A65" s="430"/>
      <x:c r="B65" s="431"/>
      <x:c r="C65" s="439" t="str">
        <x:f>IF(OR(B65="",D65=""),"",D65/B65)</x:f>
      </x:c>
      <x:c r="D65" s="433"/>
      <x:c r="E65" s="412"/>
      <x:c r="F65" s="412"/>
      <x:c r="G65" s="412"/>
    </x:row>
    <x:row r="66">
      <x:c r="A66" s="430"/>
      <x:c r="B66" s="431"/>
      <x:c r="C66" s="439" t="str">
        <x:f>IF(OR(B66="",D66=""),"",D66/B66)</x:f>
      </x:c>
      <x:c r="D66" s="433"/>
      <x:c r="E66" s="412"/>
      <x:c r="F66" s="412"/>
      <x:c r="G66" s="412"/>
    </x:row>
    <x:row r="67">
      <x:c r="A67" s="430"/>
      <x:c r="B67" s="431"/>
      <x:c r="C67" s="439" t="str">
        <x:f>IF(OR(B67="",D67=""),"",D67/B67)</x:f>
      </x:c>
      <x:c r="D67" s="433"/>
      <x:c r="E67" s="412"/>
      <x:c r="F67" s="412"/>
      <x:c r="G67" s="412"/>
    </x:row>
    <x:row r="68">
      <x:c r="A68" s="430"/>
      <x:c r="B68" s="431"/>
      <x:c r="C68" s="439" t="str">
        <x:f>IF(OR(B68="",D68=""),"",D68/B68)</x:f>
      </x:c>
      <x:c r="D68" s="433"/>
      <x:c r="E68" s="412"/>
      <x:c r="F68" s="412"/>
      <x:c r="G68" s="412"/>
    </x:row>
    <x:row r="69">
      <x:c r="A69" s="430"/>
      <x:c r="B69" s="431"/>
      <x:c r="C69" s="439" t="str">
        <x:f>IF(OR(B69="",D69=""),"",D69/B69)</x:f>
      </x:c>
      <x:c r="D69" s="433"/>
      <x:c r="E69" s="412"/>
      <x:c r="F69" s="412"/>
      <x:c r="G69" s="412"/>
    </x:row>
    <x:row r="70">
      <x:c r="A70" s="430"/>
      <x:c r="B70" s="431"/>
      <x:c r="C70" s="439" t="str">
        <x:f>IF(OR(B70="",D70=""),"",D70/B70)</x:f>
      </x:c>
      <x:c r="D70" s="433"/>
      <x:c r="E70" s="412"/>
      <x:c r="F70" s="412"/>
      <x:c r="G70" s="412"/>
    </x:row>
    <x:row r="71">
      <x:c r="A71" s="430"/>
      <x:c r="B71" s="431"/>
      <x:c r="C71" s="439" t="str">
        <x:f>IF(OR(B71="",D71=""),"",D71/B71)</x:f>
      </x:c>
      <x:c r="D71" s="433"/>
      <x:c r="E71" s="412"/>
      <x:c r="F71" s="412"/>
      <x:c r="G71" s="412"/>
    </x:row>
    <x:row r="72">
      <x:c r="A72" s="430"/>
      <x:c r="B72" s="431"/>
      <x:c r="C72" s="439" t="str">
        <x:f>IF(OR(B72="",D72=""),"",D72/B72)</x:f>
      </x:c>
      <x:c r="D72" s="433"/>
      <x:c r="E72" s="412"/>
      <x:c r="F72" s="412"/>
      <x:c r="G72" s="412"/>
    </x:row>
    <x:row r="73">
      <x:c r="A73" s="430"/>
      <x:c r="B73" s="431"/>
      <x:c r="C73" s="439" t="str">
        <x:f>IF(OR(B73="",D73=""),"",D73/B73)</x:f>
      </x:c>
      <x:c r="D73" s="433"/>
      <x:c r="E73" s="412"/>
      <x:c r="F73" s="412"/>
      <x:c r="G73" s="412"/>
    </x:row>
    <x:row r="74">
      <x:c r="A74" s="430"/>
      <x:c r="B74" s="431"/>
      <x:c r="C74" s="439" t="str">
        <x:f>IF(OR(B74="",D74=""),"",D74/B74)</x:f>
      </x:c>
      <x:c r="D74" s="433"/>
      <x:c r="E74" s="412"/>
      <x:c r="F74" s="412"/>
      <x:c r="G74" s="412"/>
    </x:row>
    <x:row r="75">
      <x:c r="A75" s="430"/>
      <x:c r="B75" s="431"/>
      <x:c r="C75" s="439" t="str">
        <x:f>IF(OR(B75="",D75=""),"",D75/B75)</x:f>
      </x:c>
      <x:c r="D75" s="433"/>
      <x:c r="E75" s="412"/>
      <x:c r="F75" s="412"/>
      <x:c r="G75" s="412"/>
    </x:row>
    <x:row r="76">
      <x:c r="A76" s="430"/>
      <x:c r="B76" s="431"/>
      <x:c r="C76" s="439" t="str">
        <x:f>IF(OR(B76="",D76=""),"",D76/B76)</x:f>
      </x:c>
      <x:c r="D76" s="433"/>
      <x:c r="E76" s="412"/>
      <x:c r="F76" s="412"/>
      <x:c r="G76" s="412"/>
    </x:row>
    <x:row r="77">
      <x:c r="A77" s="430"/>
      <x:c r="B77" s="431"/>
      <x:c r="C77" s="439" t="str">
        <x:f>IF(OR(B77="",D77=""),"",D77/B77)</x:f>
      </x:c>
      <x:c r="D77" s="433"/>
      <x:c r="E77" s="412"/>
      <x:c r="F77" s="412"/>
      <x:c r="G77" s="412"/>
    </x:row>
    <x:row r="78">
      <x:c r="A78" s="430"/>
      <x:c r="B78" s="431"/>
      <x:c r="C78" s="439" t="str">
        <x:f>IF(OR(B78="",D78=""),"",D78/B78)</x:f>
      </x:c>
      <x:c r="D78" s="433"/>
      <x:c r="E78" s="412"/>
      <x:c r="F78" s="412"/>
      <x:c r="G78" s="412"/>
    </x:row>
    <x:row r="79">
      <x:c r="A79" s="430"/>
      <x:c r="B79" s="431"/>
      <x:c r="C79" s="439" t="str">
        <x:f>IF(OR(B79="",D79=""),"",D79/B79)</x:f>
      </x:c>
      <x:c r="D79" s="433"/>
      <x:c r="E79" s="412"/>
      <x:c r="F79" s="412"/>
      <x:c r="G79" s="412"/>
    </x:row>
    <x:row r="80">
      <x:c r="A80" s="430"/>
      <x:c r="B80" s="431"/>
      <x:c r="C80" s="439" t="str">
        <x:f>IF(OR(B80="",D80=""),"",D80/B80)</x:f>
      </x:c>
      <x:c r="D80" s="433"/>
      <x:c r="E80" s="412"/>
      <x:c r="F80" s="412"/>
      <x:c r="G80" s="412"/>
    </x:row>
    <x:row r="81">
      <x:c r="A81" s="430"/>
      <x:c r="B81" s="431"/>
      <x:c r="C81" s="439" t="str">
        <x:f>IF(OR(B81="",D81=""),"",D81/B81)</x:f>
      </x:c>
      <x:c r="D81" s="433"/>
      <x:c r="E81" s="412"/>
      <x:c r="F81" s="412"/>
      <x:c r="G81" s="412"/>
    </x:row>
    <x:row r="82">
      <x:c r="A82" s="430"/>
      <x:c r="B82" s="431"/>
      <x:c r="C82" s="439" t="str">
        <x:f>IF(OR(B82="",D82=""),"",D82/B82)</x:f>
      </x:c>
      <x:c r="D82" s="433"/>
      <x:c r="E82" s="412"/>
      <x:c r="F82" s="412"/>
      <x:c r="G82" s="412"/>
    </x:row>
    <x:row r="83">
      <x:c r="A83" s="430"/>
      <x:c r="B83" s="431"/>
      <x:c r="C83" s="439" t="str">
        <x:f>IF(OR(B83="",D83=""),"",D83/B83)</x:f>
      </x:c>
      <x:c r="D83" s="433"/>
      <x:c r="E83" s="412"/>
      <x:c r="F83" s="412"/>
      <x:c r="G83" s="412"/>
    </x:row>
    <x:row r="84">
      <x:c r="A84" s="430"/>
      <x:c r="B84" s="431"/>
      <x:c r="C84" s="439" t="str">
        <x:f>IF(OR(B84="",D84=""),"",D84/B84)</x:f>
      </x:c>
      <x:c r="D84" s="433"/>
      <x:c r="E84" s="412"/>
      <x:c r="F84" s="412"/>
      <x:c r="G84" s="412"/>
    </x:row>
    <x:row r="85">
      <x:c r="A85" s="430"/>
      <x:c r="B85" s="431"/>
      <x:c r="C85" s="439" t="str">
        <x:f>IF(OR(B85="",D85=""),"",D85/B85)</x:f>
      </x:c>
      <x:c r="D85" s="433"/>
      <x:c r="E85" s="412"/>
      <x:c r="F85" s="412"/>
      <x:c r="G85" s="412"/>
    </x:row>
    <x:row r="86">
      <x:c r="A86" s="430"/>
      <x:c r="B86" s="431"/>
      <x:c r="C86" s="439" t="str">
        <x:f>IF(OR(B86="",D86=""),"",D86/B86)</x:f>
      </x:c>
      <x:c r="D86" s="433"/>
      <x:c r="E86" s="412"/>
      <x:c r="F86" s="412"/>
      <x:c r="G86" s="412"/>
    </x:row>
    <x:row r="87">
      <x:c r="A87" s="430"/>
      <x:c r="B87" s="431"/>
      <x:c r="C87" s="439" t="str">
        <x:f>IF(OR(B87="",D87=""),"",D87/B87)</x:f>
      </x:c>
      <x:c r="D87" s="433"/>
      <x:c r="E87" s="412"/>
      <x:c r="F87" s="412"/>
      <x:c r="G87" s="412"/>
    </x:row>
    <x:row r="88">
      <x:c r="A88" s="430"/>
      <x:c r="B88" s="431"/>
      <x:c r="C88" s="439" t="str">
        <x:f>IF(OR(B88="",D88=""),"",D88/B88)</x:f>
      </x:c>
      <x:c r="D88" s="433"/>
      <x:c r="E88" s="412"/>
      <x:c r="F88" s="412"/>
      <x:c r="G88" s="412"/>
    </x:row>
    <x:row r="89">
      <x:c r="A89" s="430"/>
      <x:c r="B89" s="431"/>
      <x:c r="C89" s="439" t="str">
        <x:f>IF(OR(B89="",D89=""),"",D89/B89)</x:f>
      </x:c>
      <x:c r="D89" s="433"/>
      <x:c r="E89" s="412"/>
      <x:c r="F89" s="412"/>
      <x:c r="G89" s="412"/>
    </x:row>
    <x:row r="90">
      <x:c r="A90" s="430"/>
      <x:c r="B90" s="431"/>
      <x:c r="C90" s="439" t="str">
        <x:f>IF(OR(B90="",D90=""),"",D90/B90)</x:f>
      </x:c>
      <x:c r="D90" s="433"/>
      <x:c r="E90" s="412"/>
      <x:c r="F90" s="412"/>
      <x:c r="G90" s="412"/>
    </x:row>
    <x:row r="91">
      <x:c r="A91" s="430"/>
      <x:c r="B91" s="431"/>
      <x:c r="C91" s="439" t="str">
        <x:f>IF(OR(B91="",D91=""),"",D91/B91)</x:f>
      </x:c>
      <x:c r="D91" s="433"/>
      <x:c r="E91" s="412"/>
      <x:c r="F91" s="412"/>
      <x:c r="G91" s="412"/>
    </x:row>
    <x:row r="92">
      <x:c r="A92" s="430"/>
      <x:c r="B92" s="431"/>
      <x:c r="C92" s="439" t="str">
        <x:f>IF(OR(B92="",D92=""),"",D92/B92)</x:f>
      </x:c>
      <x:c r="D92" s="433"/>
      <x:c r="E92" s="412"/>
      <x:c r="F92" s="412"/>
      <x:c r="G92" s="412"/>
    </x:row>
    <x:row r="93">
      <x:c r="A93" s="430"/>
      <x:c r="B93" s="431"/>
      <x:c r="C93" s="439" t="str">
        <x:f>IF(OR(B93="",D93=""),"",D93/B93)</x:f>
      </x:c>
      <x:c r="D93" s="433"/>
      <x:c r="E93" s="412"/>
      <x:c r="F93" s="412"/>
      <x:c r="G93" s="412"/>
    </x:row>
    <x:row r="94">
      <x:c r="A94" s="430"/>
      <x:c r="B94" s="431"/>
      <x:c r="C94" s="439" t="str">
        <x:f>IF(OR(B94="",D94=""),"",D94/B94)</x:f>
      </x:c>
      <x:c r="D94" s="433"/>
      <x:c r="E94" s="412"/>
      <x:c r="F94" s="412"/>
      <x:c r="G94" s="412"/>
    </x:row>
    <x:row r="95">
      <x:c r="A95" s="430"/>
      <x:c r="B95" s="431"/>
      <x:c r="C95" s="439" t="str">
        <x:f>IF(OR(B95="",D95=""),"",D95/B95)</x:f>
      </x:c>
      <x:c r="D95" s="433"/>
      <x:c r="E95" s="412"/>
      <x:c r="F95" s="412"/>
      <x:c r="G95" s="412"/>
    </x:row>
    <x:row r="96">
      <x:c r="A96" s="430"/>
      <x:c r="B96" s="431"/>
      <x:c r="C96" s="439" t="str">
        <x:f>IF(OR(B96="",D96=""),"",D96/B96)</x:f>
      </x:c>
      <x:c r="D96" s="433"/>
      <x:c r="E96" s="412"/>
      <x:c r="F96" s="412"/>
      <x:c r="G96" s="412"/>
    </x:row>
    <x:row r="97">
      <x:c r="A97" s="430"/>
      <x:c r="B97" s="431"/>
      <x:c r="C97" s="439" t="str">
        <x:f>IF(OR(B97="",D97=""),"",D97/B97)</x:f>
      </x:c>
      <x:c r="D97" s="433"/>
      <x:c r="E97" s="412"/>
      <x:c r="F97" s="412"/>
      <x:c r="G97" s="412"/>
    </x:row>
    <x:row r="98">
      <x:c r="A98" s="430"/>
      <x:c r="B98" s="431"/>
      <x:c r="C98" s="439" t="str">
        <x:f>IF(OR(B98="",D98=""),"",D98/B98)</x:f>
      </x:c>
      <x:c r="D98" s="433"/>
      <x:c r="E98" s="412"/>
      <x:c r="F98" s="412"/>
      <x:c r="G98" s="412"/>
    </x:row>
    <x:row r="99">
      <x:c r="A99" s="430"/>
      <x:c r="B99" s="431"/>
      <x:c r="C99" s="439" t="str">
        <x:f>IF(OR(B99="",D99=""),"",D99/B99)</x:f>
      </x:c>
      <x:c r="D99" s="433"/>
      <x:c r="E99" s="412"/>
      <x:c r="F99" s="412"/>
      <x:c r="G99" s="412"/>
    </x:row>
    <x:row r="100">
      <x:c r="A100" s="430"/>
      <x:c r="B100" s="431"/>
      <x:c r="C100" s="439" t="str">
        <x:f>IF(OR(B100="",D100=""),"",D100/B100)</x:f>
      </x:c>
      <x:c r="D100" s="433"/>
      <x:c r="E100" s="412"/>
      <x:c r="F100" s="412"/>
      <x:c r="G100" s="412"/>
    </x:row>
    <x:row r="101">
      <x:c r="A101" s="430"/>
      <x:c r="B101" s="431"/>
      <x:c r="C101" s="439" t="str">
        <x:f>IF(OR(B101="",D101=""),"",D101/B101)</x:f>
      </x:c>
      <x:c r="D101" s="433"/>
      <x:c r="E101" s="412"/>
      <x:c r="F101" s="412"/>
      <x:c r="G101" s="412"/>
    </x:row>
    <x:row r="102">
      <x:c r="A102" s="430"/>
      <x:c r="B102" s="431"/>
      <x:c r="C102" s="439" t="str">
        <x:f>IF(OR(B102="",D102=""),"",D102/B102)</x:f>
      </x:c>
      <x:c r="D102" s="433"/>
      <x:c r="E102" s="412"/>
      <x:c r="F102" s="412"/>
      <x:c r="G102" s="412"/>
    </x:row>
    <x:row r="103">
      <x:c r="A103" s="430"/>
      <x:c r="B103" s="431"/>
      <x:c r="C103" s="439" t="str">
        <x:f>IF(OR(B103="",D103=""),"",D103/B103)</x:f>
      </x:c>
      <x:c r="D103" s="433"/>
      <x:c r="E103" s="412"/>
      <x:c r="F103" s="412"/>
      <x:c r="G103" s="412"/>
    </x:row>
    <x:row r="104">
      <x:c r="A104" s="430"/>
      <x:c r="B104" s="431"/>
      <x:c r="C104" s="439" t="str">
        <x:f>IF(OR(B104="",D104=""),"",D104/B104)</x:f>
      </x:c>
      <x:c r="D104" s="433"/>
      <x:c r="E104" s="412"/>
      <x:c r="F104" s="412"/>
      <x:c r="G104" s="412"/>
    </x:row>
    <x:row r="105">
      <x:c r="A105" s="430"/>
      <x:c r="B105" s="431"/>
      <x:c r="C105" s="439" t="str">
        <x:f>IF(OR(B105="",D105=""),"",D105/B105)</x:f>
      </x:c>
      <x:c r="D105" s="433"/>
      <x:c r="E105" s="412"/>
      <x:c r="F105" s="412"/>
      <x:c r="G105" s="412"/>
    </x:row>
    <x:row r="106">
      <x:c r="A106" s="430"/>
      <x:c r="B106" s="431"/>
      <x:c r="C106" s="439" t="str">
        <x:f>IF(OR(B106="",D106=""),"",D106/B106)</x:f>
      </x:c>
      <x:c r="D106" s="433"/>
      <x:c r="E106" s="412"/>
      <x:c r="F106" s="412"/>
      <x:c r="G106" s="412"/>
    </x:row>
    <x:row r="107">
      <x:c r="A107" s="430"/>
      <x:c r="B107" s="431"/>
      <x:c r="C107" s="439" t="str">
        <x:f>IF(OR(B107="",D107=""),"",D107/B107)</x:f>
      </x:c>
      <x:c r="D107" s="433"/>
      <x:c r="E107" s="412"/>
      <x:c r="F107" s="412"/>
      <x:c r="G107" s="412"/>
    </x:row>
    <x:row r="108">
      <x:c r="A108" s="430"/>
      <x:c r="B108" s="431"/>
      <x:c r="C108" s="439" t="str">
        <x:f>IF(OR(B108="",D108=""),"",D108/B108)</x:f>
      </x:c>
      <x:c r="D108" s="433"/>
      <x:c r="E108" s="412"/>
      <x:c r="F108" s="412"/>
      <x:c r="G108" s="412"/>
    </x:row>
    <x:row r="109">
      <x:c r="A109" s="430"/>
      <x:c r="B109" s="431"/>
      <x:c r="C109" s="439" t="str">
        <x:f>IF(OR(B109="",D109=""),"",D109/B109)</x:f>
      </x:c>
      <x:c r="D109" s="433"/>
      <x:c r="E109" s="412"/>
      <x:c r="F109" s="412"/>
      <x:c r="G109" s="412"/>
    </x:row>
    <x:row r="110">
      <x:c r="A110" s="430"/>
      <x:c r="B110" s="431"/>
      <x:c r="C110" s="439" t="str">
        <x:f>IF(OR(B110="",D110=""),"",D110/B110)</x:f>
      </x:c>
      <x:c r="D110" s="433"/>
      <x:c r="E110" s="412"/>
      <x:c r="F110" s="412"/>
      <x:c r="G110" s="412"/>
    </x:row>
    <x:row r="111">
      <x:c r="A111" s="430"/>
      <x:c r="B111" s="431"/>
      <x:c r="C111" s="439" t="str">
        <x:f>IF(OR(B111="",D111=""),"",D111/B111)</x:f>
      </x:c>
      <x:c r="D111" s="433"/>
      <x:c r="E111" s="412"/>
      <x:c r="F111" s="412"/>
      <x:c r="G111" s="412"/>
    </x:row>
    <x:row r="112">
      <x:c r="A112" s="430"/>
      <x:c r="B112" s="431"/>
      <x:c r="C112" s="439" t="str">
        <x:f>IF(OR(B112="",D112=""),"",D112/B112)</x:f>
      </x:c>
      <x:c r="D112" s="433"/>
      <x:c r="E112" s="412"/>
      <x:c r="F112" s="412"/>
      <x:c r="G112" s="412"/>
    </x:row>
    <x:row r="113">
      <x:c r="A113" s="430"/>
      <x:c r="B113" s="431"/>
      <x:c r="C113" s="439" t="str">
        <x:f>IF(OR(B113="",D113=""),"",D113/B113)</x:f>
      </x:c>
      <x:c r="D113" s="433"/>
      <x:c r="E113" s="412"/>
      <x:c r="F113" s="412"/>
      <x:c r="G113" s="412"/>
    </x:row>
    <x:row r="114">
      <x:c r="A114" s="430"/>
      <x:c r="B114" s="431"/>
      <x:c r="C114" s="439" t="str">
        <x:f>IF(OR(B114="",D114=""),"",D114/B114)</x:f>
      </x:c>
      <x:c r="D114" s="433"/>
      <x:c r="E114" s="412"/>
      <x:c r="F114" s="412"/>
      <x:c r="G114" s="412"/>
    </x:row>
    <x:row r="115">
      <x:c r="A115" s="430"/>
      <x:c r="B115" s="431"/>
      <x:c r="C115" s="439" t="str">
        <x:f>IF(OR(B115="",D115=""),"",D115/B115)</x:f>
      </x:c>
      <x:c r="D115" s="433"/>
      <x:c r="E115" s="412"/>
      <x:c r="F115" s="412"/>
      <x:c r="G115" s="412"/>
    </x:row>
    <x:row r="116">
      <x:c r="A116" s="430"/>
      <x:c r="B116" s="431"/>
      <x:c r="C116" s="439" t="str">
        <x:f>IF(OR(B116="",D116=""),"",D116/B116)</x:f>
      </x:c>
      <x:c r="D116" s="433"/>
      <x:c r="E116" s="412"/>
      <x:c r="F116" s="412"/>
      <x:c r="G116" s="412"/>
    </x:row>
    <x:row r="117">
      <x:c r="A117" s="430"/>
      <x:c r="B117" s="431"/>
      <x:c r="C117" s="439" t="str">
        <x:f>IF(OR(B117="",D117=""),"",D117/B117)</x:f>
      </x:c>
      <x:c r="D117" s="433"/>
      <x:c r="E117" s="412"/>
      <x:c r="F117" s="412"/>
      <x:c r="G117" s="412"/>
    </x:row>
    <x:row r="118">
      <x:c r="A118" s="430"/>
      <x:c r="B118" s="431"/>
      <x:c r="C118" s="439" t="str">
        <x:f>IF(OR(B118="",D118=""),"",D118/B118)</x:f>
      </x:c>
      <x:c r="D118" s="433"/>
      <x:c r="E118" s="412"/>
      <x:c r="F118" s="412"/>
      <x:c r="G118" s="412"/>
    </x:row>
    <x:row r="119">
      <x:c r="A119" s="430"/>
      <x:c r="B119" s="431"/>
      <x:c r="C119" s="439" t="str">
        <x:f>IF(OR(B119="",D119=""),"",D119/B119)</x:f>
      </x:c>
      <x:c r="D119" s="433"/>
      <x:c r="E119" s="412"/>
      <x:c r="F119" s="412"/>
      <x:c r="G119" s="412"/>
    </x:row>
    <x:row r="120">
      <x:c r="A120" s="430"/>
      <x:c r="B120" s="431"/>
      <x:c r="C120" s="439" t="str">
        <x:f>IF(OR(B120="",D120=""),"",D120/B120)</x:f>
      </x:c>
      <x:c r="D120" s="433"/>
      <x:c r="E120" s="412"/>
      <x:c r="F120" s="412"/>
      <x:c r="G120" s="412"/>
    </x:row>
    <x:row r="121">
      <x:c r="A121" s="430"/>
      <x:c r="B121" s="431"/>
      <x:c r="C121" s="439" t="str">
        <x:f>IF(OR(B121="",D121=""),"",D121/B121)</x:f>
      </x:c>
      <x:c r="D121" s="433"/>
      <x:c r="E121" s="412"/>
      <x:c r="F121" s="412"/>
      <x:c r="G121" s="412"/>
    </x:row>
    <x:row r="122">
      <x:c r="A122" s="430"/>
      <x:c r="B122" s="431"/>
      <x:c r="C122" s="439" t="str">
        <x:f>IF(OR(B122="",D122=""),"",D122/B122)</x:f>
      </x:c>
      <x:c r="D122" s="433"/>
      <x:c r="E122" s="412"/>
      <x:c r="F122" s="412"/>
      <x:c r="G122" s="412"/>
    </x:row>
    <x:row r="123">
      <x:c r="A123" s="430"/>
      <x:c r="B123" s="431"/>
      <x:c r="C123" s="439" t="str">
        <x:f>IF(OR(B123="",D123=""),"",D123/B123)</x:f>
      </x:c>
      <x:c r="D123" s="433"/>
      <x:c r="E123" s="412"/>
      <x:c r="F123" s="412"/>
      <x:c r="G123" s="412"/>
    </x:row>
    <x:row r="124">
      <x:c r="A124" s="430"/>
      <x:c r="B124" s="431"/>
      <x:c r="C124" s="439" t="str">
        <x:f>IF(OR(B124="",D124=""),"",D124/B124)</x:f>
      </x:c>
      <x:c r="D124" s="433"/>
      <x:c r="E124" s="412"/>
      <x:c r="F124" s="412"/>
      <x:c r="G124" s="412"/>
    </x:row>
    <x:row r="125">
      <x:c r="A125" s="430"/>
      <x:c r="B125" s="431"/>
      <x:c r="C125" s="439" t="str">
        <x:f>IF(OR(B125="",D125=""),"",D125/B125)</x:f>
      </x:c>
      <x:c r="D125" s="433"/>
      <x:c r="E125" s="412"/>
      <x:c r="F125" s="412"/>
      <x:c r="G125" s="412"/>
    </x:row>
    <x:row r="126">
      <x:c r="A126" s="430"/>
      <x:c r="B126" s="431"/>
      <x:c r="C126" s="439" t="str">
        <x:f>IF(OR(B126="",D126=""),"",D126/B126)</x:f>
      </x:c>
      <x:c r="D126" s="433"/>
      <x:c r="E126" s="412"/>
      <x:c r="F126" s="412"/>
      <x:c r="G126" s="412"/>
    </x:row>
    <x:row r="127">
      <x:c r="A127" s="430"/>
      <x:c r="B127" s="431"/>
      <x:c r="C127" s="439" t="str">
        <x:f>IF(OR(B127="",D127=""),"",D127/B127)</x:f>
      </x:c>
      <x:c r="D127" s="433"/>
      <x:c r="E127" s="412"/>
      <x:c r="F127" s="412"/>
      <x:c r="G127" s="412"/>
    </x:row>
    <x:row r="128">
      <x:c r="A128" s="430"/>
      <x:c r="B128" s="431"/>
      <x:c r="C128" s="439" t="str">
        <x:f>IF(OR(B128="",D128=""),"",D128/B128)</x:f>
      </x:c>
      <x:c r="D128" s="433"/>
      <x:c r="E128" s="412"/>
      <x:c r="F128" s="412"/>
      <x:c r="G128" s="412"/>
    </x:row>
    <x:row r="129">
      <x:c r="A129" s="430"/>
      <x:c r="B129" s="431"/>
      <x:c r="C129" s="439" t="str">
        <x:f>IF(OR(B129="",D129=""),"",D129/B129)</x:f>
      </x:c>
      <x:c r="D129" s="433"/>
      <x:c r="E129" s="412"/>
      <x:c r="F129" s="412"/>
      <x:c r="G129" s="412"/>
    </x:row>
    <x:row r="130">
      <x:c r="A130" s="430"/>
      <x:c r="B130" s="431"/>
      <x:c r="C130" s="439" t="str">
        <x:f>IF(OR(B130="",D130=""),"",D130/B130)</x:f>
      </x:c>
      <x:c r="D130" s="433"/>
      <x:c r="E130" s="412"/>
      <x:c r="F130" s="412"/>
      <x:c r="G130" s="412"/>
    </x:row>
    <x:row r="131">
      <x:c r="A131" s="430"/>
      <x:c r="B131" s="431"/>
      <x:c r="C131" s="439" t="str">
        <x:f>IF(OR(B131="",D131=""),"",D131/B131)</x:f>
      </x:c>
      <x:c r="D131" s="433"/>
      <x:c r="E131" s="412"/>
      <x:c r="F131" s="412"/>
      <x:c r="G131" s="412"/>
    </x:row>
    <x:row r="132">
      <x:c r="A132" s="430"/>
      <x:c r="B132" s="431"/>
      <x:c r="C132" s="439" t="str">
        <x:f>IF(OR(B132="",D132=""),"",D132/B132)</x:f>
      </x:c>
      <x:c r="D132" s="433"/>
      <x:c r="E132" s="412"/>
      <x:c r="F132" s="412"/>
      <x:c r="G132" s="412"/>
    </x:row>
    <x:row r="133">
      <x:c r="A133" s="430"/>
      <x:c r="B133" s="431"/>
      <x:c r="C133" s="439" t="str">
        <x:f>IF(OR(B133="",D133=""),"",D133/B133)</x:f>
      </x:c>
      <x:c r="D133" s="433"/>
      <x:c r="E133" s="412"/>
      <x:c r="F133" s="412"/>
      <x:c r="G133" s="412"/>
    </x:row>
    <x:row r="134">
      <x:c r="A134" s="430"/>
      <x:c r="B134" s="431"/>
      <x:c r="C134" s="439" t="str">
        <x:f>IF(OR(B134="",D134=""),"",D134/B134)</x:f>
      </x:c>
      <x:c r="D134" s="433"/>
      <x:c r="E134" s="412"/>
      <x:c r="F134" s="412"/>
      <x:c r="G134" s="412"/>
    </x:row>
    <x:row r="135">
      <x:c r="A135" s="430"/>
      <x:c r="B135" s="431"/>
      <x:c r="C135" s="439" t="str">
        <x:f>IF(OR(B135="",D135=""),"",D135/B135)</x:f>
      </x:c>
      <x:c r="D135" s="433"/>
      <x:c r="E135" s="412"/>
      <x:c r="F135" s="412"/>
      <x:c r="G135" s="412"/>
    </x:row>
    <x:row r="136">
      <x:c r="A136" s="430"/>
      <x:c r="B136" s="431"/>
      <x:c r="C136" s="439" t="str">
        <x:f>IF(OR(B136="",D136=""),"",D136/B136)</x:f>
      </x:c>
      <x:c r="D136" s="433"/>
      <x:c r="E136" s="412"/>
      <x:c r="F136" s="412"/>
      <x:c r="G136" s="412"/>
    </x:row>
    <x:row r="137">
      <x:c r="A137" s="430"/>
      <x:c r="B137" s="431"/>
      <x:c r="C137" s="439" t="str">
        <x:f>IF(OR(B137="",D137=""),"",D137/B137)</x:f>
      </x:c>
      <x:c r="D137" s="433"/>
      <x:c r="E137" s="412"/>
      <x:c r="F137" s="412"/>
      <x:c r="G137" s="412"/>
    </x:row>
    <x:row r="138">
      <x:c r="A138" s="430"/>
      <x:c r="B138" s="431"/>
      <x:c r="C138" s="439" t="str">
        <x:f>IF(OR(B138="",D138=""),"",D138/B138)</x:f>
      </x:c>
      <x:c r="D138" s="433"/>
      <x:c r="E138" s="412"/>
      <x:c r="F138" s="412"/>
      <x:c r="G138" s="412"/>
    </x:row>
    <x:row r="139">
      <x:c r="A139" s="430"/>
      <x:c r="B139" s="431"/>
      <x:c r="C139" s="439" t="str">
        <x:f>IF(OR(B139="",D139=""),"",D139/B139)</x:f>
      </x:c>
      <x:c r="D139" s="433"/>
      <x:c r="E139" s="412"/>
      <x:c r="F139" s="412"/>
      <x:c r="G139" s="412"/>
    </x:row>
    <x:row r="140">
      <x:c r="A140" s="430"/>
      <x:c r="B140" s="431"/>
      <x:c r="C140" s="439" t="str">
        <x:f>IF(OR(B140="",D140=""),"",D140/B140)</x:f>
      </x:c>
      <x:c r="D140" s="433"/>
      <x:c r="E140" s="412"/>
      <x:c r="F140" s="412"/>
      <x:c r="G140" s="412"/>
    </x:row>
    <x:row r="141">
      <x:c r="A141" s="430"/>
      <x:c r="B141" s="431"/>
      <x:c r="C141" s="439" t="str">
        <x:f>IF(OR(B141="",D141=""),"",D141/B141)</x:f>
      </x:c>
      <x:c r="D141" s="433"/>
      <x:c r="E141" s="412"/>
      <x:c r="F141" s="412"/>
      <x:c r="G141" s="412"/>
    </x:row>
    <x:row r="142">
      <x:c r="A142" s="430"/>
      <x:c r="B142" s="431"/>
      <x:c r="C142" s="439" t="str">
        <x:f>IF(OR(B142="",D142=""),"",D142/B142)</x:f>
      </x:c>
      <x:c r="D142" s="433"/>
      <x:c r="E142" s="412"/>
      <x:c r="F142" s="412"/>
      <x:c r="G142" s="412"/>
    </x:row>
    <x:row r="143">
      <x:c r="A143" s="430"/>
      <x:c r="B143" s="431"/>
      <x:c r="C143" s="439" t="str">
        <x:f>IF(OR(B143="",D143=""),"",D143/B143)</x:f>
      </x:c>
      <x:c r="D143" s="433"/>
      <x:c r="E143" s="412"/>
      <x:c r="F143" s="412"/>
      <x:c r="G143" s="412"/>
    </x:row>
    <x:row r="144">
      <x:c r="A144" s="430"/>
      <x:c r="B144" s="431"/>
      <x:c r="C144" s="439" t="str">
        <x:f>IF(OR(B144="",D144=""),"",D144/B144)</x:f>
      </x:c>
      <x:c r="D144" s="433"/>
      <x:c r="E144" s="412"/>
      <x:c r="F144" s="412"/>
      <x:c r="G144" s="412"/>
    </x:row>
    <x:row r="145">
      <x:c r="A145" s="430"/>
      <x:c r="B145" s="431"/>
      <x:c r="C145" s="439" t="str">
        <x:f>IF(OR(B145="",D145=""),"",D145/B145)</x:f>
      </x:c>
      <x:c r="D145" s="433"/>
      <x:c r="E145" s="412"/>
      <x:c r="F145" s="412"/>
      <x:c r="G145" s="412"/>
    </x:row>
    <x:row r="146">
      <x:c r="A146" s="430"/>
      <x:c r="B146" s="431"/>
      <x:c r="C146" s="439" t="str">
        <x:f>IF(OR(B146="",D146=""),"",D146/B146)</x:f>
      </x:c>
      <x:c r="D146" s="433"/>
      <x:c r="E146" s="412"/>
      <x:c r="F146" s="412"/>
      <x:c r="G146" s="412"/>
    </x:row>
    <x:row r="147">
      <x:c r="A147" s="430"/>
      <x:c r="B147" s="431"/>
      <x:c r="C147" s="439" t="str">
        <x:f>IF(OR(B147="",D147=""),"",D147/B147)</x:f>
      </x:c>
      <x:c r="D147" s="433"/>
      <x:c r="E147" s="412"/>
      <x:c r="F147" s="412"/>
      <x:c r="G147" s="412"/>
    </x:row>
    <x:row r="148">
      <x:c r="A148" s="430"/>
      <x:c r="B148" s="431"/>
      <x:c r="C148" s="439" t="str">
        <x:f>IF(OR(B148="",D148=""),"",D148/B148)</x:f>
      </x:c>
      <x:c r="D148" s="433"/>
      <x:c r="E148" s="412"/>
      <x:c r="F148" s="412"/>
      <x:c r="G148" s="412"/>
    </x:row>
    <x:row r="149">
      <x:c r="A149" s="430"/>
      <x:c r="B149" s="431"/>
      <x:c r="C149" s="439" t="str">
        <x:f>IF(OR(B149="",D149=""),"",D149/B149)</x:f>
      </x:c>
      <x:c r="D149" s="433"/>
      <x:c r="E149" s="412"/>
      <x:c r="F149" s="412"/>
      <x:c r="G149" s="412"/>
    </x:row>
    <x:row r="150">
      <x:c r="A150" s="430"/>
      <x:c r="B150" s="431"/>
      <x:c r="C150" s="439" t="str">
        <x:f>IF(OR(B150="",D150=""),"",D150/B150)</x:f>
      </x:c>
      <x:c r="D150" s="433"/>
      <x:c r="E150" s="412"/>
      <x:c r="F150" s="412"/>
      <x:c r="G150" s="412"/>
    </x:row>
    <x:row r="151">
      <x:c r="A151" s="430"/>
      <x:c r="B151" s="431"/>
      <x:c r="C151" s="439" t="str">
        <x:f>IF(OR(B151="",D151=""),"",D151/B151)</x:f>
      </x:c>
      <x:c r="D151" s="433"/>
      <x:c r="E151" s="412"/>
      <x:c r="F151" s="412"/>
      <x:c r="G151" s="412"/>
    </x:row>
    <x:row r="152">
      <x:c r="A152" s="430"/>
      <x:c r="B152" s="431"/>
      <x:c r="C152" s="439" t="str">
        <x:f>IF(OR(B152="",D152=""),"",D152/B152)</x:f>
      </x:c>
      <x:c r="D152" s="433"/>
      <x:c r="E152" s="412"/>
      <x:c r="F152" s="412"/>
      <x:c r="G152" s="412"/>
    </x:row>
    <x:row r="153">
      <x:c r="A153" s="430"/>
      <x:c r="B153" s="431"/>
      <x:c r="C153" s="439" t="str">
        <x:f>IF(OR(B153="",D153=""),"",D153/B153)</x:f>
      </x:c>
      <x:c r="D153" s="433"/>
      <x:c r="E153" s="412"/>
      <x:c r="F153" s="412"/>
      <x:c r="G153" s="412"/>
    </x:row>
    <x:row r="154">
      <x:c r="A154" s="430"/>
      <x:c r="B154" s="431"/>
      <x:c r="C154" s="439" t="str">
        <x:f>IF(OR(B154="",D154=""),"",D154/B154)</x:f>
      </x:c>
      <x:c r="D154" s="433"/>
      <x:c r="E154" s="412"/>
      <x:c r="F154" s="412"/>
      <x:c r="G154" s="412"/>
    </x:row>
    <x:row r="155">
      <x:c r="A155" s="430"/>
      <x:c r="B155" s="431"/>
      <x:c r="C155" s="439" t="str">
        <x:f>IF(OR(B155="",D155=""),"",D155/B155)</x:f>
      </x:c>
      <x:c r="D155" s="433"/>
      <x:c r="E155" s="412"/>
      <x:c r="F155" s="412"/>
      <x:c r="G155" s="412"/>
    </x:row>
    <x:row r="156">
      <x:c r="A156" s="430"/>
      <x:c r="B156" s="431"/>
      <x:c r="C156" s="439" t="str">
        <x:f>IF(OR(B156="",D156=""),"",D156/B156)</x:f>
      </x:c>
      <x:c r="D156" s="433"/>
      <x:c r="E156" s="412"/>
      <x:c r="F156" s="412"/>
      <x:c r="G156" s="412"/>
    </x:row>
    <x:row r="157">
      <x:c r="A157" s="430"/>
      <x:c r="B157" s="431"/>
      <x:c r="C157" s="439" t="str">
        <x:f>IF(OR(B157="",D157=""),"",D157/B157)</x:f>
      </x:c>
      <x:c r="D157" s="433"/>
      <x:c r="E157" s="412"/>
      <x:c r="F157" s="412"/>
      <x:c r="G157" s="412"/>
    </x:row>
    <x:row r="158">
      <x:c r="A158" s="430"/>
      <x:c r="B158" s="431"/>
      <x:c r="C158" s="439" t="str">
        <x:f>IF(OR(B158="",D158=""),"",D158/B158)</x:f>
      </x:c>
      <x:c r="D158" s="433"/>
      <x:c r="E158" s="412"/>
      <x:c r="F158" s="412"/>
      <x:c r="G158" s="412"/>
    </x:row>
    <x:row r="159">
      <x:c r="A159" s="430"/>
      <x:c r="B159" s="431"/>
      <x:c r="C159" s="439" t="str">
        <x:f>IF(OR(B159="",D159=""),"",D159/B159)</x:f>
      </x:c>
      <x:c r="D159" s="433"/>
      <x:c r="E159" s="412"/>
      <x:c r="F159" s="412"/>
      <x:c r="G159" s="412"/>
    </x:row>
    <x:row r="160">
      <x:c r="A160" s="430"/>
      <x:c r="B160" s="431"/>
      <x:c r="C160" s="439" t="str">
        <x:f>IF(OR(B160="",D160=""),"",D160/B160)</x:f>
      </x:c>
      <x:c r="D160" s="433"/>
      <x:c r="E160" s="412"/>
      <x:c r="F160" s="412"/>
      <x:c r="G160" s="412"/>
    </x:row>
    <x:row r="161">
      <x:c r="A161" s="430"/>
      <x:c r="B161" s="431"/>
      <x:c r="C161" s="439" t="str">
        <x:f>IF(OR(B161="",D161=""),"",D161/B161)</x:f>
      </x:c>
      <x:c r="D161" s="433"/>
      <x:c r="E161" s="412"/>
      <x:c r="F161" s="412"/>
      <x:c r="G161" s="412"/>
    </x:row>
    <x:row r="162">
      <x:c r="A162" s="430"/>
      <x:c r="B162" s="431"/>
      <x:c r="C162" s="439" t="str">
        <x:f>IF(OR(B162="",D162=""),"",D162/B162)</x:f>
      </x:c>
      <x:c r="D162" s="433"/>
      <x:c r="E162" s="412"/>
      <x:c r="F162" s="412"/>
      <x:c r="G162" s="412"/>
    </x:row>
    <x:row r="163">
      <x:c r="A163" s="430"/>
      <x:c r="B163" s="431"/>
      <x:c r="C163" s="439" t="str">
        <x:f>IF(OR(B163="",D163=""),"",D163/B163)</x:f>
      </x:c>
      <x:c r="D163" s="433"/>
      <x:c r="E163" s="412"/>
      <x:c r="F163" s="412"/>
      <x:c r="G163" s="412"/>
    </x:row>
    <x:row r="164">
      <x:c r="A164" s="430"/>
      <x:c r="B164" s="431"/>
      <x:c r="C164" s="439" t="str">
        <x:f>IF(OR(B164="",D164=""),"",D164/B164)</x:f>
      </x:c>
      <x:c r="D164" s="433"/>
      <x:c r="E164" s="412"/>
      <x:c r="F164" s="412"/>
      <x:c r="G164" s="412"/>
    </x:row>
    <x:row r="165">
      <x:c r="A165" s="430"/>
      <x:c r="B165" s="431"/>
      <x:c r="C165" s="439" t="str">
        <x:f>IF(OR(B165="",D165=""),"",D165/B165)</x:f>
      </x:c>
      <x:c r="D165" s="433"/>
      <x:c r="E165" s="412"/>
      <x:c r="F165" s="412"/>
      <x:c r="G165" s="412"/>
    </x:row>
    <x:row r="166">
      <x:c r="A166" s="430"/>
      <x:c r="B166" s="431"/>
      <x:c r="C166" s="439" t="str">
        <x:f>IF(OR(B166="",D166=""),"",D166/B166)</x:f>
      </x:c>
      <x:c r="D166" s="433"/>
      <x:c r="E166" s="412"/>
      <x:c r="F166" s="412"/>
      <x:c r="G166" s="412"/>
    </x:row>
    <x:row r="167">
      <x:c r="A167" s="430"/>
      <x:c r="B167" s="431"/>
      <x:c r="C167" s="439" t="str">
        <x:f>IF(OR(B167="",D167=""),"",D167/B167)</x:f>
      </x:c>
      <x:c r="D167" s="433"/>
      <x:c r="E167" s="412"/>
      <x:c r="F167" s="412"/>
      <x:c r="G167" s="412"/>
    </x:row>
    <x:row r="168">
      <x:c r="A168" s="430"/>
      <x:c r="B168" s="431"/>
      <x:c r="C168" s="439" t="str">
        <x:f>IF(OR(B168="",D168=""),"",D168/B168)</x:f>
      </x:c>
      <x:c r="D168" s="433"/>
      <x:c r="E168" s="412"/>
      <x:c r="F168" s="412"/>
      <x:c r="G168" s="412"/>
    </x:row>
    <x:row r="169">
      <x:c r="A169" s="430"/>
      <x:c r="B169" s="431"/>
      <x:c r="C169" s="439" t="str">
        <x:f>IF(OR(B169="",D169=""),"",D169/B169)</x:f>
      </x:c>
      <x:c r="D169" s="433"/>
      <x:c r="E169" s="412"/>
      <x:c r="F169" s="412"/>
      <x:c r="G169" s="412"/>
    </x:row>
    <x:row r="170">
      <x:c r="A170" s="430"/>
      <x:c r="B170" s="431"/>
      <x:c r="C170" s="439" t="str">
        <x:f>IF(OR(B170="",D170=""),"",D170/B170)</x:f>
      </x:c>
      <x:c r="D170" s="433"/>
      <x:c r="E170" s="412"/>
      <x:c r="F170" s="412"/>
      <x:c r="G170" s="412"/>
    </x:row>
    <x:row r="171">
      <x:c r="A171" s="430"/>
      <x:c r="B171" s="431"/>
      <x:c r="C171" s="439" t="str">
        <x:f>IF(OR(B171="",D171=""),"",D171/B171)</x:f>
      </x:c>
      <x:c r="D171" s="433"/>
      <x:c r="E171" s="412"/>
      <x:c r="F171" s="412"/>
      <x:c r="G171" s="412"/>
    </x:row>
    <x:row r="172">
      <x:c r="A172" s="430"/>
      <x:c r="B172" s="431"/>
      <x:c r="C172" s="439" t="str">
        <x:f>IF(OR(B172="",D172=""),"",D172/B172)</x:f>
      </x:c>
      <x:c r="D172" s="433"/>
      <x:c r="E172" s="412"/>
      <x:c r="F172" s="412"/>
      <x:c r="G172" s="412"/>
    </x:row>
    <x:row r="173">
      <x:c r="A173" s="430"/>
      <x:c r="B173" s="431"/>
      <x:c r="C173" s="439" t="str">
        <x:f>IF(OR(B173="",D173=""),"",D173/B173)</x:f>
      </x:c>
      <x:c r="D173" s="433"/>
      <x:c r="E173" s="412"/>
      <x:c r="F173" s="412"/>
      <x:c r="G173" s="412"/>
    </x:row>
    <x:row r="174">
      <x:c r="A174" s="430"/>
      <x:c r="B174" s="431"/>
      <x:c r="C174" s="439" t="str">
        <x:f>IF(OR(B174="",D174=""),"",D174/B174)</x:f>
      </x:c>
      <x:c r="D174" s="433"/>
      <x:c r="E174" s="412"/>
      <x:c r="F174" s="412"/>
      <x:c r="G174" s="412"/>
    </x:row>
    <x:row r="175">
      <x:c r="A175" s="430"/>
      <x:c r="B175" s="431"/>
      <x:c r="C175" s="439" t="str">
        <x:f>IF(OR(B175="",D175=""),"",D175/B175)</x:f>
      </x:c>
      <x:c r="D175" s="433"/>
      <x:c r="E175" s="412"/>
      <x:c r="F175" s="412"/>
      <x:c r="G175" s="412"/>
    </x:row>
    <x:row r="176">
      <x:c r="A176" s="430"/>
      <x:c r="B176" s="431"/>
      <x:c r="C176" s="439" t="str">
        <x:f>IF(OR(B176="",D176=""),"",D176/B176)</x:f>
      </x:c>
      <x:c r="D176" s="433"/>
      <x:c r="E176" s="412"/>
      <x:c r="F176" s="412"/>
      <x:c r="G176" s="412"/>
    </x:row>
    <x:row r="177">
      <x:c r="A177" s="430"/>
      <x:c r="B177" s="431"/>
      <x:c r="C177" s="439" t="str">
        <x:f>IF(OR(B177="",D177=""),"",D177/B177)</x:f>
      </x:c>
      <x:c r="D177" s="433"/>
      <x:c r="E177" s="412"/>
      <x:c r="F177" s="412"/>
      <x:c r="G177" s="412"/>
    </x:row>
    <x:row r="178">
      <x:c r="A178" s="430"/>
      <x:c r="B178" s="431"/>
      <x:c r="C178" s="439" t="str">
        <x:f>IF(OR(B178="",D178=""),"",D178/B178)</x:f>
      </x:c>
      <x:c r="D178" s="433"/>
      <x:c r="E178" s="412"/>
      <x:c r="F178" s="412"/>
      <x:c r="G178" s="412"/>
    </x:row>
    <x:row r="179">
      <x:c r="A179" s="430"/>
      <x:c r="B179" s="431"/>
      <x:c r="C179" s="439" t="str">
        <x:f>IF(OR(B179="",D179=""),"",D179/B179)</x:f>
      </x:c>
      <x:c r="D179" s="433"/>
      <x:c r="E179" s="412"/>
      <x:c r="F179" s="412"/>
      <x:c r="G179" s="412"/>
    </x:row>
    <x:row r="180">
      <x:c r="A180" s="430"/>
      <x:c r="B180" s="431"/>
      <x:c r="C180" s="439" t="str">
        <x:f>IF(OR(B180="",D180=""),"",D180/B180)</x:f>
      </x:c>
      <x:c r="D180" s="433"/>
      <x:c r="E180" s="412"/>
      <x:c r="F180" s="412"/>
      <x:c r="G180" s="412"/>
    </x:row>
    <x:row r="181">
      <x:c r="A181" s="430"/>
      <x:c r="B181" s="431"/>
      <x:c r="C181" s="439" t="str">
        <x:f>IF(OR(B181="",D181=""),"",D181/B181)</x:f>
      </x:c>
      <x:c r="D181" s="433"/>
      <x:c r="E181" s="412"/>
      <x:c r="F181" s="412"/>
      <x:c r="G181" s="412"/>
    </x:row>
    <x:row r="182">
      <x:c r="A182" s="430"/>
      <x:c r="B182" s="431"/>
      <x:c r="C182" s="439" t="str">
        <x:f>IF(OR(B182="",D182=""),"",D182/B182)</x:f>
      </x:c>
      <x:c r="D182" s="433"/>
      <x:c r="E182" s="412"/>
      <x:c r="F182" s="412"/>
      <x:c r="G182" s="412"/>
    </x:row>
    <x:row r="183">
      <x:c r="A183" s="430"/>
      <x:c r="B183" s="431"/>
      <x:c r="C183" s="439" t="str">
        <x:f>IF(OR(B183="",D183=""),"",D183/B183)</x:f>
      </x:c>
      <x:c r="D183" s="433"/>
      <x:c r="E183" s="412"/>
      <x:c r="F183" s="412"/>
      <x:c r="G183" s="412"/>
    </x:row>
    <x:row r="184">
      <x:c r="A184" s="430"/>
      <x:c r="B184" s="431"/>
      <x:c r="C184" s="439" t="str">
        <x:f>IF(OR(B184="",D184=""),"",D184/B184)</x:f>
      </x:c>
      <x:c r="D184" s="433"/>
      <x:c r="E184" s="412"/>
      <x:c r="F184" s="412"/>
      <x:c r="G184" s="412"/>
    </x:row>
    <x:row r="185">
      <x:c r="A185" s="430"/>
      <x:c r="B185" s="431"/>
      <x:c r="C185" s="439" t="str">
        <x:f>IF(OR(B185="",D185=""),"",D185/B185)</x:f>
      </x:c>
      <x:c r="D185" s="433"/>
      <x:c r="E185" s="412"/>
      <x:c r="F185" s="412"/>
      <x:c r="G185" s="412"/>
    </x:row>
    <x:row r="186">
      <x:c r="A186" s="430"/>
      <x:c r="B186" s="431"/>
      <x:c r="C186" s="439" t="str">
        <x:f>IF(OR(B186="",D186=""),"",D186/B186)</x:f>
      </x:c>
      <x:c r="D186" s="433"/>
      <x:c r="E186" s="412"/>
      <x:c r="F186" s="412"/>
      <x:c r="G186" s="412"/>
    </x:row>
    <x:row r="187">
      <x:c r="A187" s="430"/>
      <x:c r="B187" s="431"/>
      <x:c r="C187" s="439" t="str">
        <x:f>IF(OR(B187="",D187=""),"",D187/B187)</x:f>
      </x:c>
      <x:c r="D187" s="433"/>
      <x:c r="E187" s="412"/>
      <x:c r="F187" s="412"/>
      <x:c r="G187" s="412"/>
    </x:row>
    <x:row r="188">
      <x:c r="A188" s="430"/>
      <x:c r="B188" s="431"/>
      <x:c r="C188" s="439" t="str">
        <x:f>IF(OR(B188="",D188=""),"",D188/B188)</x:f>
      </x:c>
      <x:c r="D188" s="433"/>
      <x:c r="E188" s="412"/>
      <x:c r="F188" s="412"/>
      <x:c r="G188" s="412"/>
    </x:row>
    <x:row r="189">
      <x:c r="A189" s="430"/>
      <x:c r="B189" s="431"/>
      <x:c r="C189" s="439" t="str">
        <x:f>IF(OR(B189="",D189=""),"",D189/B189)</x:f>
      </x:c>
      <x:c r="D189" s="433"/>
      <x:c r="E189" s="412"/>
      <x:c r="F189" s="412"/>
      <x:c r="G189" s="412"/>
    </x:row>
    <x:row r="190">
      <x:c r="A190" s="430"/>
      <x:c r="B190" s="431"/>
      <x:c r="C190" s="439" t="str">
        <x:f>IF(OR(B190="",D190=""),"",D190/B190)</x:f>
      </x:c>
      <x:c r="D190" s="433"/>
      <x:c r="E190" s="412"/>
      <x:c r="F190" s="412"/>
      <x:c r="G190" s="412"/>
    </x:row>
    <x:row r="191">
      <x:c r="A191" s="430"/>
      <x:c r="B191" s="431"/>
      <x:c r="C191" s="439" t="str">
        <x:f>IF(OR(B191="",D191=""),"",D191/B191)</x:f>
      </x:c>
      <x:c r="D191" s="433"/>
      <x:c r="E191" s="412"/>
      <x:c r="F191" s="412"/>
      <x:c r="G191" s="412"/>
    </x:row>
    <x:row r="192">
      <x:c r="A192" s="430"/>
      <x:c r="B192" s="431"/>
      <x:c r="C192" s="439" t="str">
        <x:f>IF(OR(B192="",D192=""),"",D192/B192)</x:f>
      </x:c>
      <x:c r="D192" s="433"/>
      <x:c r="E192" s="412"/>
      <x:c r="F192" s="412"/>
      <x:c r="G192" s="412"/>
    </x:row>
    <x:row r="193">
      <x:c r="A193" s="430"/>
      <x:c r="B193" s="431"/>
      <x:c r="C193" s="439" t="str">
        <x:f>IF(OR(B193="",D193=""),"",D193/B193)</x:f>
      </x:c>
      <x:c r="D193" s="433"/>
      <x:c r="E193" s="412"/>
      <x:c r="F193" s="412"/>
      <x:c r="G193" s="412"/>
    </x:row>
    <x:row r="194">
      <x:c r="A194" s="430"/>
      <x:c r="B194" s="431"/>
      <x:c r="C194" s="439" t="str">
        <x:f>IF(OR(B194="",D194=""),"",D194/B194)</x:f>
      </x:c>
      <x:c r="D194" s="433"/>
      <x:c r="E194" s="412"/>
      <x:c r="F194" s="412"/>
      <x:c r="G194" s="412"/>
    </x:row>
    <x:row r="195">
      <x:c r="A195" s="430"/>
      <x:c r="B195" s="431"/>
      <x:c r="C195" s="439" t="str">
        <x:f>IF(OR(B195="",D195=""),"",D195/B195)</x:f>
      </x:c>
      <x:c r="D195" s="433"/>
      <x:c r="E195" s="412"/>
      <x:c r="F195" s="412"/>
      <x:c r="G195" s="412"/>
    </x:row>
    <x:row r="196">
      <x:c r="A196" s="430"/>
      <x:c r="B196" s="431"/>
      <x:c r="C196" s="439" t="str">
        <x:f>IF(OR(B196="",D196=""),"",D196/B196)</x:f>
      </x:c>
      <x:c r="D196" s="433"/>
      <x:c r="E196" s="412"/>
      <x:c r="F196" s="412"/>
      <x:c r="G196" s="412"/>
    </x:row>
    <x:row r="197">
      <x:c r="A197" s="430"/>
      <x:c r="B197" s="431"/>
      <x:c r="C197" s="439" t="str">
        <x:f>IF(OR(B197="",D197=""),"",D197/B197)</x:f>
      </x:c>
      <x:c r="D197" s="433"/>
      <x:c r="E197" s="412"/>
      <x:c r="F197" s="412"/>
      <x:c r="G197" s="412"/>
    </x:row>
    <x:row r="198">
      <x:c r="A198" s="430"/>
      <x:c r="B198" s="431"/>
      <x:c r="C198" s="439" t="str">
        <x:f>IF(OR(B198="",D198=""),"",D198/B198)</x:f>
      </x:c>
      <x:c r="D198" s="433"/>
      <x:c r="E198" s="412"/>
      <x:c r="F198" s="412"/>
      <x:c r="G198" s="412"/>
    </x:row>
    <x:row r="199">
      <x:c r="A199" s="430"/>
      <x:c r="B199" s="431"/>
      <x:c r="C199" s="439" t="str">
        <x:f>IF(OR(B199="",D199=""),"",D199/B199)</x:f>
      </x:c>
      <x:c r="D199" s="433"/>
      <x:c r="E199" s="412"/>
      <x:c r="F199" s="412"/>
      <x:c r="G199" s="412"/>
    </x:row>
    <x:row r="200">
      <x:c r="A200" s="430"/>
      <x:c r="B200" s="431"/>
      <x:c r="C200" s="439" t="str">
        <x:f>IF(OR(B200="",D200=""),"",D200/B200)</x:f>
      </x:c>
      <x:c r="D200" s="433"/>
      <x:c r="E200" s="412"/>
      <x:c r="F200" s="412"/>
      <x:c r="G200" s="412"/>
    </x:row>
    <x:row r="201">
      <x:c r="A201" s="430"/>
      <x:c r="B201" s="431"/>
      <x:c r="C201" s="439" t="str">
        <x:f>IF(OR(B201="",D201=""),"",D201/B201)</x:f>
      </x:c>
      <x:c r="D201" s="433"/>
      <x:c r="E201" s="412"/>
      <x:c r="F201" s="412"/>
      <x:c r="G201" s="412"/>
    </x:row>
    <x:row r="202">
      <x:c r="A202" s="430"/>
      <x:c r="B202" s="431"/>
      <x:c r="C202" s="439" t="str">
        <x:f>IF(OR(B202="",D202=""),"",D202/B202)</x:f>
      </x:c>
      <x:c r="D202" s="433"/>
      <x:c r="E202" s="412"/>
      <x:c r="F202" s="412"/>
      <x:c r="G202" s="412"/>
    </x:row>
    <x:row r="203">
      <x:c r="A203" s="430"/>
      <x:c r="B203" s="431"/>
      <x:c r="C203" s="439" t="str">
        <x:f>IF(OR(B203="",D203=""),"",D203/B203)</x:f>
      </x:c>
      <x:c r="D203" s="433"/>
      <x:c r="E203" s="412"/>
      <x:c r="F203" s="412"/>
      <x:c r="G203" s="412"/>
    </x:row>
    <x:row r="204">
      <x:c r="A204" s="430"/>
      <x:c r="B204" s="431"/>
      <x:c r="C204" s="439" t="str">
        <x:f>IF(OR(B204="",D204=""),"",D204/B204)</x:f>
      </x:c>
      <x:c r="D204" s="433"/>
      <x:c r="E204" s="412"/>
      <x:c r="F204" s="412"/>
      <x:c r="G204" s="412"/>
    </x:row>
    <x:row r="205">
      <x:c r="A205" s="430"/>
      <x:c r="B205" s="431"/>
      <x:c r="C205" s="439" t="str">
        <x:f>IF(OR(B205="",D205=""),"",D205/B205)</x:f>
      </x:c>
      <x:c r="D205" s="433"/>
      <x:c r="E205" s="412"/>
      <x:c r="F205" s="412"/>
      <x:c r="G205" s="412"/>
    </x:row>
    <x:row r="206">
      <x:c r="A206" s="430"/>
      <x:c r="B206" s="431"/>
      <x:c r="C206" s="439" t="str">
        <x:f>IF(OR(B206="",D206=""),"",D206/B206)</x:f>
      </x:c>
      <x:c r="D206" s="433"/>
      <x:c r="E206" s="412"/>
      <x:c r="F206" s="412"/>
      <x:c r="G206" s="412"/>
    </x:row>
    <x:row r="207">
      <x:c r="A207" s="430"/>
      <x:c r="B207" s="431"/>
      <x:c r="C207" s="439" t="str">
        <x:f>IF(OR(B207="",D207=""),"",D207/B207)</x:f>
      </x:c>
      <x:c r="D207" s="433"/>
      <x:c r="E207" s="412"/>
      <x:c r="F207" s="412"/>
      <x:c r="G207" s="412"/>
    </x:row>
    <x:row r="208">
      <x:c r="A208" s="430"/>
      <x:c r="B208" s="431"/>
      <x:c r="C208" s="439" t="str">
        <x:f>IF(OR(B208="",D208=""),"",D208/B208)</x:f>
      </x:c>
      <x:c r="D208" s="433"/>
      <x:c r="E208" s="412"/>
      <x:c r="F208" s="412"/>
      <x:c r="G208" s="412"/>
    </x:row>
    <x:row r="209">
      <x:c r="A209" s="430"/>
      <x:c r="B209" s="431"/>
      <x:c r="C209" s="439" t="str">
        <x:f>IF(OR(B209="",D209=""),"",D209/B209)</x:f>
      </x:c>
      <x:c r="D209" s="433"/>
      <x:c r="E209" s="412"/>
      <x:c r="F209" s="412"/>
      <x:c r="G209" s="412"/>
    </x:row>
    <x:row r="210">
      <x:c r="A210" s="430"/>
      <x:c r="B210" s="431"/>
      <x:c r="C210" s="439" t="str">
        <x:f>IF(OR(B210="",D210=""),"",D210/B210)</x:f>
      </x:c>
      <x:c r="D210" s="433"/>
      <x:c r="E210" s="412"/>
      <x:c r="F210" s="412"/>
      <x:c r="G210" s="412"/>
    </x:row>
    <x:row r="211">
      <x:c r="A211" s="430"/>
      <x:c r="B211" s="431"/>
      <x:c r="C211" s="439" t="str">
        <x:f>IF(OR(B211="",D211=""),"",D211/B211)</x:f>
      </x:c>
      <x:c r="D211" s="433"/>
      <x:c r="E211" s="412"/>
      <x:c r="F211" s="412"/>
      <x:c r="G211" s="412"/>
    </x:row>
    <x:row r="212">
      <x:c r="A212" s="430"/>
      <x:c r="B212" s="431"/>
      <x:c r="C212" s="439" t="str">
        <x:f>IF(OR(B212="",D212=""),"",D212/B212)</x:f>
      </x:c>
      <x:c r="D212" s="433"/>
      <x:c r="E212" s="412"/>
      <x:c r="F212" s="412"/>
      <x:c r="G212" s="412"/>
    </x:row>
  </x:sheetData>
  <x:mergeCells>
    <x:mergeCell ref="A1:G1"/>
    <x:mergeCell ref="A2:G2"/>
    <x:mergeCell ref="A4:B4"/>
    <x:mergeCell ref="D4:G4"/>
    <x:mergeCell ref="A9:B9"/>
    <x:mergeCell ref="A11:G11"/>
  </x:mergeCells>
  <x:dataValidations count="3">
    <x:dataValidation type="list" sqref="E13:E212">
      <x:formula1>"Card,GCash,PayPal,Other"</x:formula1>
    </x:dataValidation>
    <x:dataValidation type="decimal" operator="between" sqref="B13:B212">
      <x:formula1>0</x:formula1>
      <x:formula2>1000000</x:formula2>
    </x:dataValidation>
    <x:dataValidation type="decimal" operator="between" sqref="D13:D212">
      <x:formula1>0</x:formula1>
      <x:formula2>100000000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c25687c8d694b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4" hidden="0" customWidth="1"/>
    <x:col min="3" max="3" width="30" hidden="0" customWidth="1"/>
    <x:col min="4" max="4" width="18" hidden="0" customWidth="1"/>
    <x:col min="5" max="5" width="28" hidden="0" customWidth="1"/>
    <x:col min="6" max="6" width="42" hidden="0" customWidth="1"/>
  </x:cols>
  <x:sheetData>
    <x:row r="1" ht="30" customHeight="1">
      <x:c r="A1" s="446" t="str">
        <x:v>Syncraft — All Expenses</x:v>
      </x:c>
      <x:c r="B1" s="446"/>
      <x:c r="C1" s="446"/>
      <x:c r="D1" s="446"/>
      <x:c r="E1" s="446"/>
      <x:c r="F1" s="446"/>
    </x:row>
    <x:row r="2" ht="34" customHeight="1">
      <x:c r="A2" s="450" t="str">
        <x:v>Simple view of provider credits and tech subscriptions already paid. Active-credit provider cost uses the recent real service mix, including Fal and Recraft vectorization.</x:v>
      </x:c>
      <x:c r="B2" s="450"/>
      <x:c r="C2" s="450"/>
      <x:c r="D2" s="450"/>
      <x:c r="E2" s="450"/>
      <x:c r="F2" s="450"/>
    </x:row>
    <x:row r="4">
      <x:c r="A4" s="445" t="str">
        <x:v>SIMPLE TOTALS</x:v>
      </x:c>
      <x:c r="B4" s="445"/>
      <x:c r="C4" s="445"/>
      <x:c r="D4" s="445"/>
      <x:c r="E4" s="445"/>
      <x:c r="F4" s="445"/>
    </x:row>
    <x:row r="5">
      <x:c r="A5" s="410" t="str">
        <x:v>Confirmed expenses paid</x:v>
      </x:c>
      <x:c r="B5" s="460" t="n">
        <x:f>SUMIF(F13:F40,"Confirmed",E13:E40)</x:f>
        <x:v>28941.55</x:v>
      </x:c>
      <x:c r="C5" s="410" t="str">
        <x:v>Including 1 Supabase estimate</x:v>
      </x:c>
      <x:c r="D5" s="460" t="n">
        <x:f>SUM(E13:E40)</x:f>
        <x:v>30491.55</x:v>
      </x:c>
      <x:c r="E5" s="410" t="str">
        <x:v>Current Syncraft cash</x:v>
      </x:c>
      <x:c r="F5" s="595" t="n">
        <x:f>'Owner Recovery'!B5</x:f>
        <x:v>3444</x:v>
      </x:c>
    </x:row>
    <x:row r="6">
      <x:c r="A6" s="410" t="str">
        <x:v>Active user credits</x:v>
      </x:c>
      <x:c r="B6" s="513" t="n">
        <x:f>'Assumptions'!B12</x:f>
        <x:v>8506</x:v>
      </x:c>
      <x:c r="C6" s="410" t="str">
        <x:v>Fal + Recraft cost of active credits</x:v>
      </x:c>
      <x:c r="D6" s="31" t="n">
        <x:f>'Service Cost Model'!B25*B6</x:f>
        <x:v>7028.367754784536</x:v>
      </x:c>
      <x:c r="E6" s="410" t="str">
        <x:v>Cash after future provider funding</x:v>
      </x:c>
      <x:c r="F6" s="533" t="n">
        <x:f>IF(F5="","",F5-D7)</x:f>
        <x:v>-270.3437547845365</x:v>
      </x:c>
    </x:row>
    <x:row r="7" ht="34" customHeight="1">
      <x:c r="A7" s="410" t="str">
        <x:v>Current provider wallets</x:v>
      </x:c>
      <x:c r="B7" s="31" t="n">
        <x:f>('Assumptions'!B13+'Assumptions'!B14)*'Assumptions'!B7</x:f>
        <x:v>3314.024</x:v>
      </x:c>
      <x:c r="C7" s="410" t="str">
        <x:v>Extra provider cash needed</x:v>
      </x:c>
      <x:c r="D7" s="31" t="n">
        <x:f>MAX(0,D6-B7)</x:f>
        <x:v>3714.3437547845365</x:v>
      </x:c>
      <x:c r="E7" s="454" t="str">
        <x:v>Current cash is now linked to Owner Recovery: opening ₱4,490 + future synced payments − business cash spent − owner withdrawals. Past expenses are not subtracted again.</x:v>
      </x:c>
      <x:c r="F7" s="454"/>
    </x:row>
    <x:row r="8" ht="34" customHeight="1">
      <x:c r="A8" s="410" t="str">
        <x:v>Fal credits already used</x:v>
      </x:c>
      <x:c r="B8" s="528" t="n">
        <x:f>'Fal Purchases'!E6</x:f>
        <x:v>169.35</x:v>
      </x:c>
      <x:c r="C8" s="410" t="str">
        <x:v>Recraft API units left</x:v>
      </x:c>
      <x:c r="D8" s="513" t="n">
        <x:f>'Recraft Purchases'!B5</x:f>
        <x:v>2802</x:v>
      </x:c>
      <x:c r="E8" s="454"/>
      <x:c r="F8" s="454"/>
    </x:row>
    <x:row r="9">
      <x:c r="A9" t="str">
        <x:v>Current OpenRouter wallet</x:v>
      </x:c>
      <x:c r="B9" s="523" t="n">
        <x:f>0.28</x:f>
        <x:v>0.28</x:v>
      </x:c>
      <x:c r="C9" t="str">
        <x:v>Recraft receipts</x:v>
      </x:c>
      <x:c r="D9" s="515" t="n">
        <x:f>'Recraft Purchases'!B7</x:f>
        <x:v>33</x:v>
      </x:c>
    </x:row>
    <x:row r="10">
      <x:c r="A10" s="445" t="str">
        <x:v>EXPENSES PAID / ESTIMATED</x:v>
      </x:c>
      <x:c r="B10" s="445"/>
      <x:c r="C10" s="445"/>
      <x:c r="D10" s="445"/>
      <x:c r="E10" s="445"/>
      <x:c r="F10" s="445"/>
    </x:row>
    <x:row r="12" ht="30" customHeight="1">
      <x:c r="A12" s="468" t="str">
        <x:v>Date / Period</x:v>
      </x:c>
      <x:c r="B12" s="468" t="str">
        <x:v>Service</x:v>
      </x:c>
      <x:c r="C12" s="468" t="str">
        <x:v>Type</x:v>
      </x:c>
      <x:c r="D12" s="468" t="str">
        <x:v>USD</x:v>
      </x:c>
      <x:c r="E12" s="468" t="str">
        <x:v>PHP Amount</x:v>
      </x:c>
      <x:c r="F12" s="468" t="str">
        <x:v>Status / Note</x:v>
      </x:c>
    </x:row>
    <x:row r="13">
      <x:c r="A13" s="238" t="str">
        <x:v>2026-07-28 to 2026-08-14</x:v>
      </x:c>
      <x:c r="B13" s="238" t="str">
        <x:v>Fal</x:v>
      </x:c>
      <x:c r="C13" s="238" t="str">
        <x:v>Provider credits</x:v>
      </x:c>
      <x:c r="D13" s="470" t="n">
        <x:v>170</x:v>
      </x:c>
      <x:c r="E13" s="471" t="n">
        <x:f>D13*'Assumptions'!B7</x:f>
        <x:v>10540</x:v>
      </x:c>
      <x:c r="F13" s="479" t="str">
        <x:v>Confirmed</x:v>
      </x:c>
    </x:row>
    <x:row r="14">
      <x:c r="A14" s="238" t="str">
        <x:v>2026-06-25 to 2026-07-11</x:v>
      </x:c>
      <x:c r="B14" s="238" t="str">
        <x:v>OpenRouter</x:v>
      </x:c>
      <x:c r="C14" s="238" t="str">
        <x:v>AI credits</x:v>
      </x:c>
      <x:c r="D14" s="470" t="n">
        <x:v>190</x:v>
      </x:c>
      <x:c r="E14" s="471" t="n">
        <x:f>D14*'Assumptions'!B7</x:f>
        <x:v>11780</x:v>
      </x:c>
      <x:c r="F14" s="479" t="str">
        <x:v>Confirmed</x:v>
      </x:c>
    </x:row>
    <x:row r="15">
      <x:c r="A15" s="238" t="str">
        <x:v>2026-07-26</x:v>
      </x:c>
      <x:c r="B15" s="238" t="str">
        <x:v>Vercel Pro</x:v>
      </x:c>
      <x:c r="C15" s="238" t="str">
        <x:v>Hosting</x:v>
      </x:c>
      <x:c r="D15" s="470" t="n">
        <x:v>20</x:v>
      </x:c>
      <x:c r="E15" s="471" t="n">
        <x:f>D15*'Assumptions'!B7</x:f>
        <x:v>1240</x:v>
      </x:c>
      <x:c r="F15" s="479" t="str">
        <x:v>Confirmed</x:v>
      </x:c>
    </x:row>
    <x:row r="16">
      <x:c r="A16" s="238" t="str">
        <x:v>2026-07-31</x:v>
      </x:c>
      <x:c r="B16" s="238" t="str">
        <x:v>ChatGPT Plus / Codex</x:v>
      </x:c>
      <x:c r="C16" s="238" t="str">
        <x:v>Development tool</x:v>
      </x:c>
      <x:c r="D16" s="470"/>
      <x:c r="E16" s="471" t="n">
        <x:v>1100</x:v>
      </x:c>
      <x:c r="F16" s="479" t="str">
        <x:v>Confirmed</x:v>
      </x:c>
    </x:row>
    <x:row r="17">
      <x:c r="A17" s="238" t="str">
        <x:v>2026-05-29 to 2026-08-11</x:v>
      </x:c>
      <x:c r="B17" s="238" t="str">
        <x:v>Recraft API</x:v>
      </x:c>
      <x:c r="C17" s="238" t="str">
        <x:v>Vectorizer API units</x:v>
      </x:c>
      <x:c r="D17" s="529" t="n">
        <x:v>67</x:v>
      </x:c>
      <x:c r="E17" s="471" t="n">
        <x:v>4281.55</x:v>
      </x:c>
      <x:c r="F17" s="517" t="str">
        <x:v>Confirmed</x:v>
      </x:c>
    </x:row>
    <x:row r="18">
      <x:c r="A18" s="477" t="str">
        <x:v>Month to confirm</x:v>
      </x:c>
      <x:c r="B18" s="477" t="str">
        <x:v>Supabase Pro</x:v>
      </x:c>
      <x:c r="C18" s="477" t="str">
        <x:v>Database</x:v>
      </x:c>
      <x:c r="D18" s="530" t="n">
        <x:v>25</x:v>
      </x:c>
      <x:c r="E18" s="522" t="n">
        <x:f>D18*'Assumptions'!B7</x:f>
        <x:v>1550</x:v>
      </x:c>
      <x:c r="F18" s="519" t="str">
        <x:v>Estimate — confirm actual charge/months</x:v>
      </x:c>
    </x:row>
    <x:row r="19">
      <x:c r="A19" s="477"/>
      <x:c r="B19" s="477"/>
      <x:c r="C19" s="477"/>
      <x:c r="D19" s="474"/>
      <x:c r="E19" s="475"/>
      <x:c r="F19" s="477"/>
    </x:row>
    <x:row r="20">
      <x:c r="A20" s="477"/>
      <x:c r="B20" s="477"/>
      <x:c r="C20" s="477"/>
      <x:c r="D20" s="474"/>
      <x:c r="E20" s="475"/>
      <x:c r="F20" s="477"/>
    </x:row>
    <x:row r="21">
      <x:c r="A21" s="477"/>
      <x:c r="B21" s="477"/>
      <x:c r="C21" s="477"/>
      <x:c r="D21" s="474"/>
      <x:c r="E21" s="475"/>
      <x:c r="F21" s="477"/>
    </x:row>
    <x:row r="22">
      <x:c r="A22" s="477"/>
      <x:c r="B22" s="477"/>
      <x:c r="C22" s="477"/>
      <x:c r="D22" s="474"/>
      <x:c r="E22" s="475"/>
      <x:c r="F22" s="477"/>
    </x:row>
    <x:row r="23">
      <x:c r="A23" s="477"/>
      <x:c r="B23" s="477"/>
      <x:c r="C23" s="477"/>
      <x:c r="D23" s="474"/>
      <x:c r="E23" s="475"/>
      <x:c r="F23" s="477"/>
    </x:row>
    <x:row r="24">
      <x:c r="A24" s="477"/>
      <x:c r="B24" s="477"/>
      <x:c r="C24" s="477"/>
      <x:c r="D24" s="474"/>
      <x:c r="E24" s="475"/>
      <x:c r="F24" s="477"/>
    </x:row>
    <x:row r="25">
      <x:c r="A25" s="477"/>
      <x:c r="B25" s="477"/>
      <x:c r="C25" s="477"/>
      <x:c r="D25" s="474"/>
      <x:c r="E25" s="475"/>
      <x:c r="F25" s="477"/>
    </x:row>
    <x:row r="26">
      <x:c r="A26" s="477"/>
      <x:c r="B26" s="477"/>
      <x:c r="C26" s="477"/>
      <x:c r="D26" s="474"/>
      <x:c r="E26" s="475"/>
      <x:c r="F26" s="477"/>
    </x:row>
    <x:row r="27">
      <x:c r="A27" s="477"/>
      <x:c r="B27" s="477"/>
      <x:c r="C27" s="477"/>
      <x:c r="D27" s="474"/>
      <x:c r="E27" s="475"/>
      <x:c r="F27" s="477"/>
    </x:row>
    <x:row r="28">
      <x:c r="A28" s="477"/>
      <x:c r="B28" s="477"/>
      <x:c r="C28" s="477"/>
      <x:c r="D28" s="474"/>
      <x:c r="E28" s="475"/>
      <x:c r="F28" s="477"/>
    </x:row>
    <x:row r="29">
      <x:c r="A29" s="477"/>
      <x:c r="B29" s="477"/>
      <x:c r="C29" s="477"/>
      <x:c r="D29" s="474"/>
      <x:c r="E29" s="475"/>
      <x:c r="F29" s="477"/>
    </x:row>
    <x:row r="30">
      <x:c r="A30" s="477"/>
      <x:c r="B30" s="477"/>
      <x:c r="C30" s="477"/>
      <x:c r="D30" s="474"/>
      <x:c r="E30" s="475"/>
      <x:c r="F30" s="477"/>
    </x:row>
    <x:row r="31">
      <x:c r="A31" s="477"/>
      <x:c r="B31" s="477"/>
      <x:c r="C31" s="477"/>
      <x:c r="D31" s="474"/>
      <x:c r="E31" s="475"/>
      <x:c r="F31" s="477"/>
    </x:row>
    <x:row r="32">
      <x:c r="A32" s="477"/>
      <x:c r="B32" s="477"/>
      <x:c r="C32" s="477"/>
      <x:c r="D32" s="474"/>
      <x:c r="E32" s="475"/>
      <x:c r="F32" s="477"/>
    </x:row>
    <x:row r="33">
      <x:c r="A33" s="477"/>
      <x:c r="B33" s="477"/>
      <x:c r="C33" s="477"/>
      <x:c r="D33" s="474"/>
      <x:c r="E33" s="475"/>
      <x:c r="F33" s="477"/>
    </x:row>
    <x:row r="34">
      <x:c r="A34" s="477"/>
      <x:c r="B34" s="477"/>
      <x:c r="C34" s="477"/>
      <x:c r="D34" s="474"/>
      <x:c r="E34" s="475"/>
      <x:c r="F34" s="477"/>
    </x:row>
    <x:row r="35">
      <x:c r="A35" s="477"/>
      <x:c r="B35" s="477"/>
      <x:c r="C35" s="477"/>
      <x:c r="D35" s="474"/>
      <x:c r="E35" s="475"/>
      <x:c r="F35" s="477"/>
    </x:row>
    <x:row r="36">
      <x:c r="A36" s="477"/>
      <x:c r="B36" s="477"/>
      <x:c r="C36" s="477"/>
      <x:c r="D36" s="474"/>
      <x:c r="E36" s="475"/>
      <x:c r="F36" s="477"/>
    </x:row>
    <x:row r="37">
      <x:c r="A37" s="477"/>
      <x:c r="B37" s="477"/>
      <x:c r="C37" s="477"/>
      <x:c r="D37" s="474"/>
      <x:c r="E37" s="475"/>
      <x:c r="F37" s="477"/>
    </x:row>
    <x:row r="38">
      <x:c r="A38" s="477"/>
      <x:c r="B38" s="477"/>
      <x:c r="C38" s="477"/>
      <x:c r="D38" s="474"/>
      <x:c r="E38" s="475"/>
      <x:c r="F38" s="477"/>
    </x:row>
    <x:row r="39">
      <x:c r="A39" s="477"/>
      <x:c r="B39" s="477"/>
      <x:c r="C39" s="477"/>
      <x:c r="D39" s="474"/>
      <x:c r="E39" s="475"/>
      <x:c r="F39" s="477"/>
    </x:row>
    <x:row r="40">
      <x:c r="A40" s="477"/>
      <x:c r="B40" s="477"/>
      <x:c r="C40" s="477"/>
      <x:c r="D40" s="474"/>
      <x:c r="E40" s="475"/>
      <x:c r="F40" s="477"/>
    </x:row>
  </x:sheetData>
  <x:mergeCells>
    <x:mergeCell ref="A1:F1"/>
    <x:mergeCell ref="A2:F2"/>
    <x:mergeCell ref="A4:F4"/>
    <x:mergeCell ref="E7:F8"/>
    <x:mergeCell ref="A10:F10"/>
  </x:mergeCells>
  <x:pageMargins left="0.7" right="0.7" top="0.75" bottom="0.75" header="0.3" footer="0.3"/>
  <x:tableParts count="1">
    <x:tablePart xmlns:r="http://schemas.openxmlformats.org/officeDocument/2006/relationships" r:id="Reb144a4d65bf44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24" hidden="0" customWidth="1"/>
    <x:col min="5" max="5" width="20" hidden="0" customWidth="1"/>
    <x:col min="6" max="6" width="24" hidden="0" customWidth="1"/>
  </x:cols>
  <x:sheetData>
    <x:row r="1" ht="30" customHeight="1">
      <x:c r="A1" s="488" t="str">
        <x:v>Recraft API Purchase Tracker</x:v>
      </x:c>
      <x:c r="B1" s="488"/>
      <x:c r="C1" s="488"/>
      <x:c r="D1" s="488"/>
      <x:c r="E1" s="488"/>
      <x:c r="F1" s="488"/>
    </x:row>
    <x:row r="2" ht="38" customHeight="1">
      <x:c r="A2" s="492" t="str">
        <x:v>All 33 Recraft receipts found in Gmail are listed below. The account is currently on the Free Studio plan; these payments were API Unit Packs used by the vectorizer.</x:v>
      </x:c>
      <x:c r="B2" s="492"/>
      <x:c r="C2" s="492"/>
      <x:c r="D2" s="492"/>
      <x:c r="E2" s="492"/>
      <x:c r="F2" s="492"/>
    </x:row>
    <x:row r="4">
      <x:c r="A4" s="487" t="str">
        <x:v>CURRENT RECRAFT</x:v>
      </x:c>
      <x:c r="B4" s="487"/>
      <x:c r="D4" s="487" t="str">
        <x:v>PURCHASE SUMMARY</x:v>
      </x:c>
      <x:c r="E4" s="487"/>
      <x:c r="F4" s="487"/>
    </x:row>
    <x:row r="5" ht="25" customHeight="1">
      <x:c r="A5" s="410" t="str">
        <x:v>Current API units</x:v>
      </x:c>
      <x:c r="B5" s="495" t="n">
        <x:v>2802</x:v>
      </x:c>
      <x:c r="D5" s="410" t="str">
        <x:v>USD purchased</x:v>
      </x:c>
      <x:c r="E5" s="526" t="n">
        <x:f>SUM(B12:B111)</x:f>
        <x:v>67</x:v>
      </x:c>
    </x:row>
    <x:row r="6" ht="25" customHeight="1">
      <x:c r="A6" s="410" t="str">
        <x:v>Current API value (USD)</x:v>
      </x:c>
      <x:c r="B6" s="496" t="n">
        <x:f>B5/1000</x:f>
        <x:v>2.802</x:v>
      </x:c>
      <x:c r="D6" s="410" t="str">
        <x:v>Exact PHP paid</x:v>
      </x:c>
      <x:c r="E6" s="497" t="n">
        <x:f>SUM(C12:C111)</x:f>
        <x:v>4281.55</x:v>
      </x:c>
    </x:row>
    <x:row r="7" ht="25" customHeight="1">
      <x:c r="A7" s="410" t="str">
        <x:v>Receipt count</x:v>
      </x:c>
      <x:c r="B7" s="495" t="n">
        <x:f>COUNTA(E12:E111)</x:f>
        <x:v>33</x:v>
      </x:c>
      <x:c r="D7" s="410" t="str">
        <x:v>Estimated USD used</x:v>
      </x:c>
      <x:c r="E7" s="496" t="n">
        <x:f>MAX(0,E5-B6)</x:f>
        <x:v>64.198</x:v>
      </x:c>
    </x:row>
    <x:row r="8" ht="25" customHeight="1">
      <x:c r="A8" s="410" t="str">
        <x:v>Current Studio plan</x:v>
      </x:c>
      <x:c r="B8" s="494" t="str">
        <x:v>Free</x:v>
      </x:c>
      <x:c r="D8" s="410" t="str">
        <x:v>Average PHP / USD</x:v>
      </x:c>
      <x:c r="E8" s="527" t="n">
        <x:f>IF(E5=0,0,E6/E5)</x:f>
        <x:v>63.90373134328358</x:v>
      </x:c>
    </x:row>
    <x:row r="10">
      <x:c r="A10" s="487" t="str">
        <x:v>RECRAFT RECEIPT HISTORY</x:v>
      </x:c>
      <x:c r="B10" s="487"/>
      <x:c r="C10" s="487"/>
      <x:c r="D10" s="487"/>
      <x:c r="E10" s="487"/>
      <x:c r="F10" s="487"/>
    </x:row>
    <x:row r="11">
      <x:c r="A11" s="503" t="str">
        <x:v>Date</x:v>
      </x:c>
      <x:c r="B11" s="503" t="str">
        <x:v>USD Bought</x:v>
      </x:c>
      <x:c r="C11" s="503" t="str">
        <x:v>Exact PHP Paid</x:v>
      </x:c>
      <x:c r="D11" s="503" t="str">
        <x:v>PHP / USD</x:v>
      </x:c>
      <x:c r="E11" s="503" t="str">
        <x:v>Receipt #</x:v>
      </x:c>
      <x:c r="F11" s="503" t="str">
        <x:v>Item</x:v>
      </x:c>
    </x:row>
    <x:row r="12">
      <x:c r="A12" s="151" t="n">
        <x:v>46245</x:v>
      </x:c>
      <x:c r="B12" s="523" t="n">
        <x:v>5</x:v>
      </x:c>
      <x:c r="C12" s="42" t="n">
        <x:v>318</x:v>
      </x:c>
      <x:c r="D12" s="148" t="n">
        <x:f>IF(OR(B12="",C12=""),"",C12/B12)</x:f>
        <x:v>63.6</x:v>
      </x:c>
      <x:c r="E12" t="str">
        <x:v>2996-2830</x:v>
      </x:c>
      <x:c r="F12" t="str">
        <x:v>API Unit Pack 5</x:v>
      </x:c>
    </x:row>
    <x:row r="13">
      <x:c r="A13" s="151" t="n">
        <x:v>46243</x:v>
      </x:c>
      <x:c r="B13" s="523" t="n">
        <x:v>1</x:v>
      </x:c>
      <x:c r="C13" s="42" t="n">
        <x:v>63.28</x:v>
      </x:c>
      <x:c r="D13" s="148" t="n">
        <x:f>IF(OR(B13="",C13=""),"",C13/B13)</x:f>
        <x:v>63.28</x:v>
      </x:c>
      <x:c r="E13" t="str">
        <x:v>2952-7213</x:v>
      </x:c>
      <x:c r="F13" t="str">
        <x:v>API Unit Pack 1</x:v>
      </x:c>
    </x:row>
    <x:row r="14">
      <x:c r="A14" s="151" t="n">
        <x:v>46236</x:v>
      </x:c>
      <x:c r="B14" s="523" t="n">
        <x:v>3</x:v>
      </x:c>
      <x:c r="C14" s="42" t="n">
        <x:v>191.08</x:v>
      </x:c>
      <x:c r="D14" s="148" t="n">
        <x:f>IF(OR(B14="",C14=""),"",C14/B14)</x:f>
        <x:v>63.693333333333335</x:v>
      </x:c>
      <x:c r="E14" t="str">
        <x:v>2643-3402</x:v>
      </x:c>
      <x:c r="F14" t="str">
        <x:v>API Unit Pack 3</x:v>
      </x:c>
    </x:row>
    <x:row r="15">
      <x:c r="A15" s="151" t="n">
        <x:v>46233</x:v>
      </x:c>
      <x:c r="B15" s="523" t="n">
        <x:v>1</x:v>
      </x:c>
      <x:c r="C15" s="42" t="n">
        <x:v>64.02</x:v>
      </x:c>
      <x:c r="D15" s="148" t="n">
        <x:f>IF(OR(B15="",C15=""),"",C15/B15)</x:f>
        <x:v>64.02</x:v>
      </x:c>
      <x:c r="E15" t="str">
        <x:v>2233-3977</x:v>
      </x:c>
      <x:c r="F15" t="str">
        <x:v>API Unit Pack 1</x:v>
      </x:c>
    </x:row>
    <x:row r="16">
      <x:c r="A16" s="151" t="n">
        <x:v>46226</x:v>
      </x:c>
      <x:c r="B16" s="523" t="n">
        <x:v>3</x:v>
      </x:c>
      <x:c r="C16" s="42" t="n">
        <x:v>192.72</x:v>
      </x:c>
      <x:c r="D16" s="148" t="n">
        <x:f>IF(OR(B16="",C16=""),"",C16/B16)</x:f>
        <x:v>64.24</x:v>
      </x:c>
      <x:c r="E16" t="str">
        <x:v>2142-5005</x:v>
      </x:c>
      <x:c r="F16" t="str">
        <x:v>API Unit Pack 3</x:v>
      </x:c>
    </x:row>
    <x:row r="17">
      <x:c r="A17" s="151" t="n">
        <x:v>46220</x:v>
      </x:c>
      <x:c r="B17" s="523" t="n">
        <x:v>1</x:v>
      </x:c>
      <x:c r="C17" s="42" t="n">
        <x:v>64.09</x:v>
      </x:c>
      <x:c r="D17" s="148" t="n">
        <x:f>IF(OR(B17="",C17=""),"",C17/B17)</x:f>
        <x:v>64.09</x:v>
      </x:c>
      <x:c r="E17" t="str">
        <x:v>2357-7797</x:v>
      </x:c>
      <x:c r="F17" t="str">
        <x:v>API Unit Pack 1</x:v>
      </x:c>
    </x:row>
    <x:row r="18">
      <x:c r="A18" s="151" t="n">
        <x:v>46224</x:v>
      </x:c>
      <x:c r="B18" s="523" t="n">
        <x:v>1</x:v>
      </x:c>
      <x:c r="C18" s="42" t="n">
        <x:v>64.19</x:v>
      </x:c>
      <x:c r="D18" s="148" t="n">
        <x:f>IF(OR(B18="",C18=""),"",C18/B18)</x:f>
        <x:v>64.19</x:v>
      </x:c>
      <x:c r="E18" t="str">
        <x:v>2206-4451</x:v>
      </x:c>
      <x:c r="F18" t="str">
        <x:v>API Unit Pack 1</x:v>
      </x:c>
    </x:row>
    <x:row r="19">
      <x:c r="A19" s="151" t="n">
        <x:v>46212</x:v>
      </x:c>
      <x:c r="B19" s="523" t="n">
        <x:v>2</x:v>
      </x:c>
      <x:c r="C19" s="42" t="n">
        <x:v>128.13</x:v>
      </x:c>
      <x:c r="D19" s="148" t="n">
        <x:f>IF(OR(B19="",C19=""),"",C19/B19)</x:f>
        <x:v>64.065</x:v>
      </x:c>
      <x:c r="E19" t="str">
        <x:v>2786-8177</x:v>
      </x:c>
      <x:c r="F19" t="str">
        <x:v>API Unit Pack 2</x:v>
      </x:c>
    </x:row>
    <x:row r="20">
      <x:c r="A20" s="151" t="n">
        <x:v>46212</x:v>
      </x:c>
      <x:c r="B20" s="523" t="n">
        <x:v>2</x:v>
      </x:c>
      <x:c r="C20" s="42" t="n">
        <x:v>128.08</x:v>
      </x:c>
      <x:c r="D20" s="148" t="n">
        <x:f>IF(OR(B20="",C20=""),"",C20/B20)</x:f>
        <x:v>64.04</x:v>
      </x:c>
      <x:c r="E20" t="str">
        <x:v>2977-4699</x:v>
      </x:c>
      <x:c r="F20" t="str">
        <x:v>API Unit Pack 2</x:v>
      </x:c>
    </x:row>
    <x:row r="21">
      <x:c r="A21" s="151" t="n">
        <x:v>46213</x:v>
      </x:c>
      <x:c r="B21" s="523" t="n">
        <x:v>2</x:v>
      </x:c>
      <x:c r="C21" s="42" t="n">
        <x:v>128.04</x:v>
      </x:c>
      <x:c r="D21" s="148" t="n">
        <x:f>IF(OR(B21="",C21=""),"",C21/B21)</x:f>
        <x:v>64.02</x:v>
      </x:c>
      <x:c r="E21" t="str">
        <x:v>2724-1754</x:v>
      </x:c>
      <x:c r="F21" t="str">
        <x:v>API Unit Pack 2</x:v>
      </x:c>
    </x:row>
    <x:row r="22">
      <x:c r="A22" s="151" t="n">
        <x:v>46211</x:v>
      </x:c>
      <x:c r="B22" s="523" t="n">
        <x:v>2</x:v>
      </x:c>
      <x:c r="C22" s="42" t="n">
        <x:v>128.08</x:v>
      </x:c>
      <x:c r="D22" s="148" t="n">
        <x:f>IF(OR(B22="",C22=""),"",C22/B22)</x:f>
        <x:v>64.04</x:v>
      </x:c>
      <x:c r="E22" t="str">
        <x:v>2065-9217</x:v>
      </x:c>
      <x:c r="F22" t="str">
        <x:v>API Unit Pack 2</x:v>
      </x:c>
    </x:row>
    <x:row r="23">
      <x:c r="A23" s="151" t="n">
        <x:v>46211</x:v>
      </x:c>
      <x:c r="B23" s="523" t="n">
        <x:v>3</x:v>
      </x:c>
      <x:c r="C23" s="42" t="n">
        <x:v>192.03</x:v>
      </x:c>
      <x:c r="D23" s="148" t="n">
        <x:f>IF(OR(B23="",C23=""),"",C23/B23)</x:f>
        <x:v>64.01</x:v>
      </x:c>
      <x:c r="E23" t="str">
        <x:v>2711-6410</x:v>
      </x:c>
      <x:c r="F23" t="str">
        <x:v>API Unit Pack 3</x:v>
      </x:c>
    </x:row>
    <x:row r="24">
      <x:c r="A24" s="151" t="n">
        <x:v>46211</x:v>
      </x:c>
      <x:c r="B24" s="523" t="n">
        <x:v>1</x:v>
      </x:c>
      <x:c r="C24" s="42" t="n">
        <x:v>63.95</x:v>
      </x:c>
      <x:c r="D24" s="148" t="n">
        <x:f>IF(OR(B24="",C24=""),"",C24/B24)</x:f>
        <x:v>63.95</x:v>
      </x:c>
      <x:c r="E24" t="str">
        <x:v>2204-8325</x:v>
      </x:c>
      <x:c r="F24" t="str">
        <x:v>API Unit Pack 1</x:v>
      </x:c>
    </x:row>
    <x:row r="25">
      <x:c r="A25" s="151" t="n">
        <x:v>46210</x:v>
      </x:c>
      <x:c r="B25" s="523" t="n">
        <x:v>1</x:v>
      </x:c>
      <x:c r="C25" s="42" t="n">
        <x:v>63.91</x:v>
      </x:c>
      <x:c r="D25" s="148" t="n">
        <x:f>IF(OR(B25="",C25=""),"",C25/B25)</x:f>
        <x:v>63.91</x:v>
      </x:c>
      <x:c r="E25" t="str">
        <x:v>2570-5148</x:v>
      </x:c>
      <x:c r="F25" t="str">
        <x:v>API Unit Pack 1</x:v>
      </x:c>
    </x:row>
    <x:row r="26">
      <x:c r="A26" s="151" t="n">
        <x:v>46211</x:v>
      </x:c>
      <x:c r="B26" s="523" t="n">
        <x:v>3</x:v>
      </x:c>
      <x:c r="C26" s="42" t="n">
        <x:v>192.08</x:v>
      </x:c>
      <x:c r="D26" s="148" t="n">
        <x:f>IF(OR(B26="",C26=""),"",C26/B26)</x:f>
        <x:v>64.02666666666667</x:v>
      </x:c>
      <x:c r="E26" t="str">
        <x:v>2320-5962</x:v>
      </x:c>
      <x:c r="F26" t="str">
        <x:v>API Unit Pack 3</x:v>
      </x:c>
    </x:row>
    <x:row r="27">
      <x:c r="A27" s="151" t="n">
        <x:v>46209</x:v>
      </x:c>
      <x:c r="B27" s="523" t="n">
        <x:v>2</x:v>
      </x:c>
      <x:c r="C27" s="42" t="n">
        <x:v>127.9</x:v>
      </x:c>
      <x:c r="D27" s="148" t="n">
        <x:f>IF(OR(B27="",C27=""),"",C27/B27)</x:f>
        <x:v>63.95</x:v>
      </x:c>
      <x:c r="E27" t="str">
        <x:v>2579-4323</x:v>
      </x:c>
      <x:c r="F27" t="str">
        <x:v>API Unit Pack 2</x:v>
      </x:c>
    </x:row>
    <x:row r="28">
      <x:c r="A28" s="151" t="n">
        <x:v>46211</x:v>
      </x:c>
      <x:c r="B28" s="523" t="n">
        <x:v>2</x:v>
      </x:c>
      <x:c r="C28" s="42" t="n">
        <x:v>127.76</x:v>
      </x:c>
      <x:c r="D28" s="148" t="n">
        <x:f>IF(OR(B28="",C28=""),"",C28/B28)</x:f>
        <x:v>63.88</x:v>
      </x:c>
      <x:c r="E28" t="str">
        <x:v>2905-5287</x:v>
      </x:c>
      <x:c r="F28" t="str">
        <x:v>API Unit Pack 2</x:v>
      </x:c>
    </x:row>
    <x:row r="29">
      <x:c r="A29" s="151" t="n">
        <x:v>46210</x:v>
      </x:c>
      <x:c r="B29" s="523" t="n">
        <x:v>2</x:v>
      </x:c>
      <x:c r="C29" s="42" t="n">
        <x:v>127.74</x:v>
      </x:c>
      <x:c r="D29" s="148" t="n">
        <x:f>IF(OR(B29="",C29=""),"",C29/B29)</x:f>
        <x:v>63.87</x:v>
      </x:c>
      <x:c r="E29" t="str">
        <x:v>2665-6799</x:v>
      </x:c>
      <x:c r="F29" t="str">
        <x:v>API Unit Pack 2</x:v>
      </x:c>
    </x:row>
    <x:row r="30">
      <x:c r="A30" s="151" t="n">
        <x:v>46209</x:v>
      </x:c>
      <x:c r="B30" s="523" t="n">
        <x:v>3</x:v>
      </x:c>
      <x:c r="C30" s="42" t="n">
        <x:v>191.96</x:v>
      </x:c>
      <x:c r="D30" s="148" t="n">
        <x:f>IF(OR(B30="",C30=""),"",C30/B30)</x:f>
        <x:v>63.98666666666667</x:v>
      </x:c>
      <x:c r="E30" t="str">
        <x:v>2609-5839</x:v>
      </x:c>
      <x:c r="F30" t="str">
        <x:v>API Unit Pack 3</x:v>
      </x:c>
    </x:row>
    <x:row r="31">
      <x:c r="A31" s="151" t="n">
        <x:v>46209</x:v>
      </x:c>
      <x:c r="B31" s="523" t="n">
        <x:v>3</x:v>
      </x:c>
      <x:c r="C31" s="42" t="n">
        <x:v>191.97</x:v>
      </x:c>
      <x:c r="D31" s="148" t="n">
        <x:f>IF(OR(B31="",C31=""),"",C31/B31)</x:f>
        <x:v>63.99</x:v>
      </x:c>
      <x:c r="E31" t="str">
        <x:v>2196-0007</x:v>
      </x:c>
      <x:c r="F31" t="str">
        <x:v>API Unit Pack 3</x:v>
      </x:c>
    </x:row>
    <x:row r="32">
      <x:c r="A32" s="151" t="n">
        <x:v>46209</x:v>
      </x:c>
      <x:c r="B32" s="523" t="n">
        <x:v>2</x:v>
      </x:c>
      <x:c r="C32" s="42" t="n">
        <x:v>128.02</x:v>
      </x:c>
      <x:c r="D32" s="148" t="n">
        <x:f>IF(OR(B32="",C32=""),"",C32/B32)</x:f>
        <x:v>64.01</x:v>
      </x:c>
      <x:c r="E32" t="str">
        <x:v>2498-0775</x:v>
      </x:c>
      <x:c r="F32" t="str">
        <x:v>API Unit Pack 2</x:v>
      </x:c>
    </x:row>
    <x:row r="33">
      <x:c r="A33" s="151" t="n">
        <x:v>46208</x:v>
      </x:c>
      <x:c r="B33" s="523" t="n">
        <x:v>3</x:v>
      </x:c>
      <x:c r="C33" s="42" t="n">
        <x:v>191.59</x:v>
      </x:c>
      <x:c r="D33" s="148" t="n">
        <x:f>IF(OR(B33="",C33=""),"",C33/B33)</x:f>
        <x:v>63.86333333333334</x:v>
      </x:c>
      <x:c r="E33" t="str">
        <x:v>2234-4450</x:v>
      </x:c>
      <x:c r="F33" t="str">
        <x:v>API Unit Pack 3</x:v>
      </x:c>
    </x:row>
    <x:row r="34">
      <x:c r="A34" s="151" t="n">
        <x:v>46205</x:v>
      </x:c>
      <x:c r="B34" s="523" t="n">
        <x:v>1</x:v>
      </x:c>
      <x:c r="C34" s="42" t="n">
        <x:v>64.08</x:v>
      </x:c>
      <x:c r="D34" s="148" t="n">
        <x:f>IF(OR(B34="",C34=""),"",C34/B34)</x:f>
        <x:v>64.08</x:v>
      </x:c>
      <x:c r="E34" t="str">
        <x:v>2765-1535</x:v>
      </x:c>
      <x:c r="F34" t="str">
        <x:v>API Unit Pack 1</x:v>
      </x:c>
    </x:row>
    <x:row r="35">
      <x:c r="A35" s="151" t="n">
        <x:v>46204</x:v>
      </x:c>
      <x:c r="B35" s="523" t="n">
        <x:v>1</x:v>
      </x:c>
      <x:c r="C35" s="42" t="n">
        <x:v>64.07</x:v>
      </x:c>
      <x:c r="D35" s="148" t="n">
        <x:f>IF(OR(B35="",C35=""),"",C35/B35)</x:f>
        <x:v>64.07</x:v>
      </x:c>
      <x:c r="E35" t="str">
        <x:v>2531-5258</x:v>
      </x:c>
      <x:c r="F35" t="str">
        <x:v>API Unit Pack 1</x:v>
      </x:c>
    </x:row>
    <x:row r="36">
      <x:c r="A36" s="151" t="n">
        <x:v>46206</x:v>
      </x:c>
      <x:c r="B36" s="523" t="n">
        <x:v>1</x:v>
      </x:c>
      <x:c r="C36" s="42" t="n">
        <x:v>63.88</x:v>
      </x:c>
      <x:c r="D36" s="148" t="n">
        <x:f>IF(OR(B36="",C36=""),"",C36/B36)</x:f>
        <x:v>63.88</x:v>
      </x:c>
      <x:c r="E36" t="str">
        <x:v>2938-9479</x:v>
      </x:c>
      <x:c r="F36" t="str">
        <x:v>API Unit Pack 1</x:v>
      </x:c>
    </x:row>
    <x:row r="37">
      <x:c r="A37" s="151" t="n">
        <x:v>46202</x:v>
      </x:c>
      <x:c r="B37" s="523" t="n">
        <x:v>2</x:v>
      </x:c>
      <x:c r="C37" s="42" t="n">
        <x:v>127.25</x:v>
      </x:c>
      <x:c r="D37" s="148" t="n">
        <x:f>IF(OR(B37="",C37=""),"",C37/B37)</x:f>
        <x:v>63.625</x:v>
      </x:c>
      <x:c r="E37" t="str">
        <x:v>2453-2923</x:v>
      </x:c>
      <x:c r="F37" t="str">
        <x:v>API Unit Pack 2</x:v>
      </x:c>
    </x:row>
    <x:row r="38">
      <x:c r="A38" s="151" t="n">
        <x:v>46198</x:v>
      </x:c>
      <x:c r="B38" s="523" t="n">
        <x:v>1</x:v>
      </x:c>
      <x:c r="C38" s="42" t="n">
        <x:v>63.81</x:v>
      </x:c>
      <x:c r="D38" s="148" t="n">
        <x:f>IF(OR(B38="",C38=""),"",C38/B38)</x:f>
        <x:v>63.81</x:v>
      </x:c>
      <x:c r="E38" t="str">
        <x:v>2457-0289</x:v>
      </x:c>
      <x:c r="F38" t="str">
        <x:v>API Unit Pack 1</x:v>
      </x:c>
    </x:row>
    <x:row r="39">
      <x:c r="A39" s="151" t="n">
        <x:v>46172</x:v>
      </x:c>
      <x:c r="B39" s="523" t="n">
        <x:v>5</x:v>
      </x:c>
      <x:c r="C39" s="42" t="n">
        <x:v>320.05</x:v>
      </x:c>
      <x:c r="D39" s="148" t="n">
        <x:f>IF(OR(B39="",C39=""),"",C39/B39)</x:f>
        <x:v>64.01</x:v>
      </x:c>
      <x:c r="E39" t="str">
        <x:v>2400-7493</x:v>
      </x:c>
      <x:c r="F39" t="str">
        <x:v>API Unit Pack 5</x:v>
      </x:c>
    </x:row>
    <x:row r="40">
      <x:c r="A40" s="151" t="n">
        <x:v>46174</x:v>
      </x:c>
      <x:c r="B40" s="523" t="n">
        <x:v>1</x:v>
      </x:c>
      <x:c r="C40" s="42" t="n">
        <x:v>64.22</x:v>
      </x:c>
      <x:c r="D40" s="148" t="n">
        <x:f>IF(OR(B40="",C40=""),"",C40/B40)</x:f>
        <x:v>64.22</x:v>
      </x:c>
      <x:c r="E40" t="str">
        <x:v>2275-2646</x:v>
      </x:c>
      <x:c r="F40" t="str">
        <x:v>API Unit Pack 1</x:v>
      </x:c>
    </x:row>
    <x:row r="41">
      <x:c r="A41" s="151" t="n">
        <x:v>46173</x:v>
      </x:c>
      <x:c r="B41" s="523" t="n">
        <x:v>1</x:v>
      </x:c>
      <x:c r="C41" s="42" t="n">
        <x:v>64.01</x:v>
      </x:c>
      <x:c r="D41" s="148" t="n">
        <x:f>IF(OR(B41="",C41=""),"",C41/B41)</x:f>
        <x:v>64.01</x:v>
      </x:c>
      <x:c r="E41" t="str">
        <x:v>2743-1647</x:v>
      </x:c>
      <x:c r="F41" t="str">
        <x:v>API Unit Pack 1</x:v>
      </x:c>
    </x:row>
    <x:row r="42">
      <x:c r="A42" s="151" t="n">
        <x:v>46173</x:v>
      </x:c>
      <x:c r="B42" s="523" t="n">
        <x:v>3</x:v>
      </x:c>
      <x:c r="C42" s="42" t="n">
        <x:v>192.03</x:v>
      </x:c>
      <x:c r="D42" s="148" t="n">
        <x:f>IF(OR(B42="",C42=""),"",C42/B42)</x:f>
        <x:v>64.01</x:v>
      </x:c>
      <x:c r="E42" t="str">
        <x:v>2455-8309</x:v>
      </x:c>
      <x:c r="F42" t="str">
        <x:v>API Unit Pack 3</x:v>
      </x:c>
    </x:row>
    <x:row r="43">
      <x:c r="A43" s="151" t="n">
        <x:v>46190</x:v>
      </x:c>
      <x:c r="B43" s="523" t="n">
        <x:v>2</x:v>
      </x:c>
      <x:c r="C43" s="42" t="n">
        <x:v>125.62</x:v>
      </x:c>
      <x:c r="D43" s="148" t="n">
        <x:f>IF(OR(B43="",C43=""),"",C43/B43)</x:f>
        <x:v>62.81</x:v>
      </x:c>
      <x:c r="E43" t="str">
        <x:v>2773-8978</x:v>
      </x:c>
      <x:c r="F43" t="str">
        <x:v>API Unit Pack 2</x:v>
      </x:c>
    </x:row>
    <x:row r="44">
      <x:c r="A44" s="151" t="n">
        <x:v>46171</x:v>
      </x:c>
      <x:c r="B44" s="523" t="n">
        <x:v>1</x:v>
      </x:c>
      <x:c r="C44" s="42" t="n">
        <x:v>63.91</x:v>
      </x:c>
      <x:c r="D44" s="148" t="n">
        <x:f>IF(OR(B44="",C44=""),"",C44/B44)</x:f>
        <x:v>63.91</x:v>
      </x:c>
      <x:c r="E44" t="str">
        <x:v>2143-0033</x:v>
      </x:c>
      <x:c r="F44" t="str">
        <x:v>API Unit Pack 1</x:v>
      </x:c>
    </x:row>
    <x:row r="45">
      <x:c r="A45" s="509"/>
      <x:c r="B45" s="524"/>
      <x:c r="C45" s="511"/>
      <x:c r="D45" s="525" t="str">
        <x:f>IF(OR(B45="",C45=""),"",C45/B45)</x:f>
      </x:c>
      <x:c r="E45" s="509"/>
      <x:c r="F45" s="509"/>
    </x:row>
    <x:row r="46">
      <x:c r="A46" s="509"/>
      <x:c r="B46" s="524"/>
      <x:c r="C46" s="511"/>
      <x:c r="D46" s="525" t="str">
        <x:f>IF(OR(B46="",C46=""),"",C46/B46)</x:f>
      </x:c>
      <x:c r="E46" s="509"/>
      <x:c r="F46" s="509"/>
    </x:row>
    <x:row r="47">
      <x:c r="A47" s="509"/>
      <x:c r="B47" s="524"/>
      <x:c r="C47" s="511"/>
      <x:c r="D47" s="525" t="str">
        <x:f>IF(OR(B47="",C47=""),"",C47/B47)</x:f>
      </x:c>
      <x:c r="E47" s="509"/>
      <x:c r="F47" s="509"/>
    </x:row>
    <x:row r="48">
      <x:c r="A48" s="509"/>
      <x:c r="B48" s="524"/>
      <x:c r="C48" s="511"/>
      <x:c r="D48" s="525" t="str">
        <x:f>IF(OR(B48="",C48=""),"",C48/B48)</x:f>
      </x:c>
      <x:c r="E48" s="509"/>
      <x:c r="F48" s="509"/>
    </x:row>
    <x:row r="49">
      <x:c r="A49" s="509"/>
      <x:c r="B49" s="524"/>
      <x:c r="C49" s="511"/>
      <x:c r="D49" s="525" t="str">
        <x:f>IF(OR(B49="",C49=""),"",C49/B49)</x:f>
      </x:c>
      <x:c r="E49" s="509"/>
      <x:c r="F49" s="509"/>
    </x:row>
    <x:row r="50">
      <x:c r="A50" s="509"/>
      <x:c r="B50" s="524"/>
      <x:c r="C50" s="511"/>
      <x:c r="D50" s="525" t="str">
        <x:f>IF(OR(B50="",C50=""),"",C50/B50)</x:f>
      </x:c>
      <x:c r="E50" s="509"/>
      <x:c r="F50" s="509"/>
    </x:row>
    <x:row r="51">
      <x:c r="A51" s="509"/>
      <x:c r="B51" s="524"/>
      <x:c r="C51" s="511"/>
      <x:c r="D51" s="525" t="str">
        <x:f>IF(OR(B51="",C51=""),"",C51/B51)</x:f>
      </x:c>
      <x:c r="E51" s="509"/>
      <x:c r="F51" s="509"/>
    </x:row>
    <x:row r="52">
      <x:c r="A52" s="509"/>
      <x:c r="B52" s="524"/>
      <x:c r="C52" s="511"/>
      <x:c r="D52" s="525" t="str">
        <x:f>IF(OR(B52="",C52=""),"",C52/B52)</x:f>
      </x:c>
      <x:c r="E52" s="509"/>
      <x:c r="F52" s="509"/>
    </x:row>
    <x:row r="53">
      <x:c r="A53" s="509"/>
      <x:c r="B53" s="524"/>
      <x:c r="C53" s="511"/>
      <x:c r="D53" s="525" t="str">
        <x:f>IF(OR(B53="",C53=""),"",C53/B53)</x:f>
      </x:c>
      <x:c r="E53" s="509"/>
      <x:c r="F53" s="509"/>
    </x:row>
    <x:row r="54">
      <x:c r="A54" s="509"/>
      <x:c r="B54" s="524"/>
      <x:c r="C54" s="511"/>
      <x:c r="D54" s="525" t="str">
        <x:f>IF(OR(B54="",C54=""),"",C54/B54)</x:f>
      </x:c>
      <x:c r="E54" s="509"/>
      <x:c r="F54" s="509"/>
    </x:row>
    <x:row r="55">
      <x:c r="A55" s="509"/>
      <x:c r="B55" s="524"/>
      <x:c r="C55" s="511"/>
      <x:c r="D55" s="525" t="str">
        <x:f>IF(OR(B55="",C55=""),"",C55/B55)</x:f>
      </x:c>
      <x:c r="E55" s="509"/>
      <x:c r="F55" s="509"/>
    </x:row>
    <x:row r="56">
      <x:c r="A56" s="509"/>
      <x:c r="B56" s="524"/>
      <x:c r="C56" s="511"/>
      <x:c r="D56" s="525" t="str">
        <x:f>IF(OR(B56="",C56=""),"",C56/B56)</x:f>
      </x:c>
      <x:c r="E56" s="509"/>
      <x:c r="F56" s="509"/>
    </x:row>
    <x:row r="57">
      <x:c r="A57" s="509"/>
      <x:c r="B57" s="524"/>
      <x:c r="C57" s="511"/>
      <x:c r="D57" s="525" t="str">
        <x:f>IF(OR(B57="",C57=""),"",C57/B57)</x:f>
      </x:c>
      <x:c r="E57" s="509"/>
      <x:c r="F57" s="509"/>
    </x:row>
    <x:row r="58">
      <x:c r="A58" s="509"/>
      <x:c r="B58" s="524"/>
      <x:c r="C58" s="511"/>
      <x:c r="D58" s="525" t="str">
        <x:f>IF(OR(B58="",C58=""),"",C58/B58)</x:f>
      </x:c>
      <x:c r="E58" s="509"/>
      <x:c r="F58" s="509"/>
    </x:row>
    <x:row r="59">
      <x:c r="A59" s="509"/>
      <x:c r="B59" s="524"/>
      <x:c r="C59" s="511"/>
      <x:c r="D59" s="525" t="str">
        <x:f>IF(OR(B59="",C59=""),"",C59/B59)</x:f>
      </x:c>
      <x:c r="E59" s="509"/>
      <x:c r="F59" s="509"/>
    </x:row>
    <x:row r="60">
      <x:c r="A60" s="509"/>
      <x:c r="B60" s="524"/>
      <x:c r="C60" s="511"/>
      <x:c r="D60" s="525" t="str">
        <x:f>IF(OR(B60="",C60=""),"",C60/B60)</x:f>
      </x:c>
      <x:c r="E60" s="509"/>
      <x:c r="F60" s="509"/>
    </x:row>
    <x:row r="61">
      <x:c r="A61" s="509"/>
      <x:c r="B61" s="524"/>
      <x:c r="C61" s="511"/>
      <x:c r="D61" s="525" t="str">
        <x:f>IF(OR(B61="",C61=""),"",C61/B61)</x:f>
      </x:c>
      <x:c r="E61" s="509"/>
      <x:c r="F61" s="509"/>
    </x:row>
    <x:row r="62">
      <x:c r="A62" s="509"/>
      <x:c r="B62" s="524"/>
      <x:c r="C62" s="511"/>
      <x:c r="D62" s="525" t="str">
        <x:f>IF(OR(B62="",C62=""),"",C62/B62)</x:f>
      </x:c>
      <x:c r="E62" s="509"/>
      <x:c r="F62" s="509"/>
    </x:row>
    <x:row r="63">
      <x:c r="A63" s="509"/>
      <x:c r="B63" s="524"/>
      <x:c r="C63" s="511"/>
      <x:c r="D63" s="525" t="str">
        <x:f>IF(OR(B63="",C63=""),"",C63/B63)</x:f>
      </x:c>
      <x:c r="E63" s="509"/>
      <x:c r="F63" s="509"/>
    </x:row>
    <x:row r="64">
      <x:c r="A64" s="509"/>
      <x:c r="B64" s="524"/>
      <x:c r="C64" s="511"/>
      <x:c r="D64" s="525" t="str">
        <x:f>IF(OR(B64="",C64=""),"",C64/B64)</x:f>
      </x:c>
      <x:c r="E64" s="509"/>
      <x:c r="F64" s="509"/>
    </x:row>
    <x:row r="65">
      <x:c r="A65" s="509"/>
      <x:c r="B65" s="524"/>
      <x:c r="C65" s="511"/>
      <x:c r="D65" s="525" t="str">
        <x:f>IF(OR(B65="",C65=""),"",C65/B65)</x:f>
      </x:c>
      <x:c r="E65" s="509"/>
      <x:c r="F65" s="509"/>
    </x:row>
    <x:row r="66">
      <x:c r="A66" s="509"/>
      <x:c r="B66" s="524"/>
      <x:c r="C66" s="511"/>
      <x:c r="D66" s="525" t="str">
        <x:f>IF(OR(B66="",C66=""),"",C66/B66)</x:f>
      </x:c>
      <x:c r="E66" s="509"/>
      <x:c r="F66" s="509"/>
    </x:row>
    <x:row r="67">
      <x:c r="A67" s="509"/>
      <x:c r="B67" s="524"/>
      <x:c r="C67" s="511"/>
      <x:c r="D67" s="525" t="str">
        <x:f>IF(OR(B67="",C67=""),"",C67/B67)</x:f>
      </x:c>
      <x:c r="E67" s="509"/>
      <x:c r="F67" s="509"/>
    </x:row>
    <x:row r="68">
      <x:c r="A68" s="509"/>
      <x:c r="B68" s="524"/>
      <x:c r="C68" s="511"/>
      <x:c r="D68" s="525" t="str">
        <x:f>IF(OR(B68="",C68=""),"",C68/B68)</x:f>
      </x:c>
      <x:c r="E68" s="509"/>
      <x:c r="F68" s="509"/>
    </x:row>
    <x:row r="69">
      <x:c r="A69" s="509"/>
      <x:c r="B69" s="524"/>
      <x:c r="C69" s="511"/>
      <x:c r="D69" s="525" t="str">
        <x:f>IF(OR(B69="",C69=""),"",C69/B69)</x:f>
      </x:c>
      <x:c r="E69" s="509"/>
      <x:c r="F69" s="509"/>
    </x:row>
    <x:row r="70">
      <x:c r="A70" s="509"/>
      <x:c r="B70" s="524"/>
      <x:c r="C70" s="511"/>
      <x:c r="D70" s="525" t="str">
        <x:f>IF(OR(B70="",C70=""),"",C70/B70)</x:f>
      </x:c>
      <x:c r="E70" s="509"/>
      <x:c r="F70" s="509"/>
    </x:row>
    <x:row r="71">
      <x:c r="A71" s="509"/>
      <x:c r="B71" s="524"/>
      <x:c r="C71" s="511"/>
      <x:c r="D71" s="525" t="str">
        <x:f>IF(OR(B71="",C71=""),"",C71/B71)</x:f>
      </x:c>
      <x:c r="E71" s="509"/>
      <x:c r="F71" s="509"/>
    </x:row>
    <x:row r="72">
      <x:c r="A72" s="509"/>
      <x:c r="B72" s="524"/>
      <x:c r="C72" s="511"/>
      <x:c r="D72" s="525" t="str">
        <x:f>IF(OR(B72="",C72=""),"",C72/B72)</x:f>
      </x:c>
      <x:c r="E72" s="509"/>
      <x:c r="F72" s="509"/>
    </x:row>
    <x:row r="73">
      <x:c r="A73" s="509"/>
      <x:c r="B73" s="524"/>
      <x:c r="C73" s="511"/>
      <x:c r="D73" s="525" t="str">
        <x:f>IF(OR(B73="",C73=""),"",C73/B73)</x:f>
      </x:c>
      <x:c r="E73" s="509"/>
      <x:c r="F73" s="509"/>
    </x:row>
    <x:row r="74">
      <x:c r="A74" s="509"/>
      <x:c r="B74" s="524"/>
      <x:c r="C74" s="511"/>
      <x:c r="D74" s="525" t="str">
        <x:f>IF(OR(B74="",C74=""),"",C74/B74)</x:f>
      </x:c>
      <x:c r="E74" s="509"/>
      <x:c r="F74" s="509"/>
    </x:row>
    <x:row r="75">
      <x:c r="A75" s="509"/>
      <x:c r="B75" s="524"/>
      <x:c r="C75" s="511"/>
      <x:c r="D75" s="525" t="str">
        <x:f>IF(OR(B75="",C75=""),"",C75/B75)</x:f>
      </x:c>
      <x:c r="E75" s="509"/>
      <x:c r="F75" s="509"/>
    </x:row>
    <x:row r="76">
      <x:c r="A76" s="509"/>
      <x:c r="B76" s="524"/>
      <x:c r="C76" s="511"/>
      <x:c r="D76" s="525" t="str">
        <x:f>IF(OR(B76="",C76=""),"",C76/B76)</x:f>
      </x:c>
      <x:c r="E76" s="509"/>
      <x:c r="F76" s="509"/>
    </x:row>
    <x:row r="77">
      <x:c r="A77" s="509"/>
      <x:c r="B77" s="524"/>
      <x:c r="C77" s="511"/>
      <x:c r="D77" s="525" t="str">
        <x:f>IF(OR(B77="",C77=""),"",C77/B77)</x:f>
      </x:c>
      <x:c r="E77" s="509"/>
      <x:c r="F77" s="509"/>
    </x:row>
    <x:row r="78">
      <x:c r="A78" s="509"/>
      <x:c r="B78" s="524"/>
      <x:c r="C78" s="511"/>
      <x:c r="D78" s="525" t="str">
        <x:f>IF(OR(B78="",C78=""),"",C78/B78)</x:f>
      </x:c>
      <x:c r="E78" s="509"/>
      <x:c r="F78" s="509"/>
    </x:row>
    <x:row r="79">
      <x:c r="A79" s="509"/>
      <x:c r="B79" s="524"/>
      <x:c r="C79" s="511"/>
      <x:c r="D79" s="525" t="str">
        <x:f>IF(OR(B79="",C79=""),"",C79/B79)</x:f>
      </x:c>
      <x:c r="E79" s="509"/>
      <x:c r="F79" s="509"/>
    </x:row>
    <x:row r="80">
      <x:c r="A80" s="509"/>
      <x:c r="B80" s="524"/>
      <x:c r="C80" s="511"/>
      <x:c r="D80" s="525" t="str">
        <x:f>IF(OR(B80="",C80=""),"",C80/B80)</x:f>
      </x:c>
      <x:c r="E80" s="509"/>
      <x:c r="F80" s="509"/>
    </x:row>
    <x:row r="81">
      <x:c r="A81" s="509"/>
      <x:c r="B81" s="524"/>
      <x:c r="C81" s="511"/>
      <x:c r="D81" s="525" t="str">
        <x:f>IF(OR(B81="",C81=""),"",C81/B81)</x:f>
      </x:c>
      <x:c r="E81" s="509"/>
      <x:c r="F81" s="509"/>
    </x:row>
    <x:row r="82">
      <x:c r="A82" s="509"/>
      <x:c r="B82" s="524"/>
      <x:c r="C82" s="511"/>
      <x:c r="D82" s="525" t="str">
        <x:f>IF(OR(B82="",C82=""),"",C82/B82)</x:f>
      </x:c>
      <x:c r="E82" s="509"/>
      <x:c r="F82" s="509"/>
    </x:row>
    <x:row r="83">
      <x:c r="A83" s="509"/>
      <x:c r="B83" s="524"/>
      <x:c r="C83" s="511"/>
      <x:c r="D83" s="525" t="str">
        <x:f>IF(OR(B83="",C83=""),"",C83/B83)</x:f>
      </x:c>
      <x:c r="E83" s="509"/>
      <x:c r="F83" s="509"/>
    </x:row>
    <x:row r="84">
      <x:c r="A84" s="509"/>
      <x:c r="B84" s="524"/>
      <x:c r="C84" s="511"/>
      <x:c r="D84" s="525" t="str">
        <x:f>IF(OR(B84="",C84=""),"",C84/B84)</x:f>
      </x:c>
      <x:c r="E84" s="509"/>
      <x:c r="F84" s="509"/>
    </x:row>
    <x:row r="85">
      <x:c r="A85" s="509"/>
      <x:c r="B85" s="524"/>
      <x:c r="C85" s="511"/>
      <x:c r="D85" s="525" t="str">
        <x:f>IF(OR(B85="",C85=""),"",C85/B85)</x:f>
      </x:c>
      <x:c r="E85" s="509"/>
      <x:c r="F85" s="509"/>
    </x:row>
    <x:row r="86">
      <x:c r="A86" s="509"/>
      <x:c r="B86" s="524"/>
      <x:c r="C86" s="511"/>
      <x:c r="D86" s="525" t="str">
        <x:f>IF(OR(B86="",C86=""),"",C86/B86)</x:f>
      </x:c>
      <x:c r="E86" s="509"/>
      <x:c r="F86" s="509"/>
    </x:row>
    <x:row r="87">
      <x:c r="A87" s="509"/>
      <x:c r="B87" s="524"/>
      <x:c r="C87" s="511"/>
      <x:c r="D87" s="525" t="str">
        <x:f>IF(OR(B87="",C87=""),"",C87/B87)</x:f>
      </x:c>
      <x:c r="E87" s="509"/>
      <x:c r="F87" s="509"/>
    </x:row>
    <x:row r="88">
      <x:c r="A88" s="509"/>
      <x:c r="B88" s="524"/>
      <x:c r="C88" s="511"/>
      <x:c r="D88" s="525" t="str">
        <x:f>IF(OR(B88="",C88=""),"",C88/B88)</x:f>
      </x:c>
      <x:c r="E88" s="509"/>
      <x:c r="F88" s="509"/>
    </x:row>
    <x:row r="89">
      <x:c r="A89" s="509"/>
      <x:c r="B89" s="524"/>
      <x:c r="C89" s="511"/>
      <x:c r="D89" s="525" t="str">
        <x:f>IF(OR(B89="",C89=""),"",C89/B89)</x:f>
      </x:c>
      <x:c r="E89" s="509"/>
      <x:c r="F89" s="509"/>
    </x:row>
    <x:row r="90">
      <x:c r="A90" s="509"/>
      <x:c r="B90" s="524"/>
      <x:c r="C90" s="511"/>
      <x:c r="D90" s="525" t="str">
        <x:f>IF(OR(B90="",C90=""),"",C90/B90)</x:f>
      </x:c>
      <x:c r="E90" s="509"/>
      <x:c r="F90" s="509"/>
    </x:row>
    <x:row r="91">
      <x:c r="A91" s="509"/>
      <x:c r="B91" s="524"/>
      <x:c r="C91" s="511"/>
      <x:c r="D91" s="525" t="str">
        <x:f>IF(OR(B91="",C91=""),"",C91/B91)</x:f>
      </x:c>
      <x:c r="E91" s="509"/>
      <x:c r="F91" s="509"/>
    </x:row>
    <x:row r="92">
      <x:c r="A92" s="509"/>
      <x:c r="B92" s="524"/>
      <x:c r="C92" s="511"/>
      <x:c r="D92" s="525" t="str">
        <x:f>IF(OR(B92="",C92=""),"",C92/B92)</x:f>
      </x:c>
      <x:c r="E92" s="509"/>
      <x:c r="F92" s="509"/>
    </x:row>
    <x:row r="93">
      <x:c r="A93" s="509"/>
      <x:c r="B93" s="524"/>
      <x:c r="C93" s="511"/>
      <x:c r="D93" s="525" t="str">
        <x:f>IF(OR(B93="",C93=""),"",C93/B93)</x:f>
      </x:c>
      <x:c r="E93" s="509"/>
      <x:c r="F93" s="509"/>
    </x:row>
    <x:row r="94">
      <x:c r="A94" s="509"/>
      <x:c r="B94" s="524"/>
      <x:c r="C94" s="511"/>
      <x:c r="D94" s="525" t="str">
        <x:f>IF(OR(B94="",C94=""),"",C94/B94)</x:f>
      </x:c>
      <x:c r="E94" s="509"/>
      <x:c r="F94" s="509"/>
    </x:row>
    <x:row r="95">
      <x:c r="A95" s="509"/>
      <x:c r="B95" s="524"/>
      <x:c r="C95" s="511"/>
      <x:c r="D95" s="525" t="str">
        <x:f>IF(OR(B95="",C95=""),"",C95/B95)</x:f>
      </x:c>
      <x:c r="E95" s="509"/>
      <x:c r="F95" s="509"/>
    </x:row>
    <x:row r="96">
      <x:c r="A96" s="509"/>
      <x:c r="B96" s="524"/>
      <x:c r="C96" s="511"/>
      <x:c r="D96" s="525" t="str">
        <x:f>IF(OR(B96="",C96=""),"",C96/B96)</x:f>
      </x:c>
      <x:c r="E96" s="509"/>
      <x:c r="F96" s="509"/>
    </x:row>
    <x:row r="97">
      <x:c r="A97" s="509"/>
      <x:c r="B97" s="524"/>
      <x:c r="C97" s="511"/>
      <x:c r="D97" s="525" t="str">
        <x:f>IF(OR(B97="",C97=""),"",C97/B97)</x:f>
      </x:c>
      <x:c r="E97" s="509"/>
      <x:c r="F97" s="509"/>
    </x:row>
    <x:row r="98">
      <x:c r="A98" s="509"/>
      <x:c r="B98" s="524"/>
      <x:c r="C98" s="511"/>
      <x:c r="D98" s="525" t="str">
        <x:f>IF(OR(B98="",C98=""),"",C98/B98)</x:f>
      </x:c>
      <x:c r="E98" s="509"/>
      <x:c r="F98" s="509"/>
    </x:row>
    <x:row r="99">
      <x:c r="A99" s="509"/>
      <x:c r="B99" s="524"/>
      <x:c r="C99" s="511"/>
      <x:c r="D99" s="525" t="str">
        <x:f>IF(OR(B99="",C99=""),"",C99/B99)</x:f>
      </x:c>
      <x:c r="E99" s="509"/>
      <x:c r="F99" s="509"/>
    </x:row>
    <x:row r="100">
      <x:c r="A100" s="509"/>
      <x:c r="B100" s="524"/>
      <x:c r="C100" s="511"/>
      <x:c r="D100" s="525" t="str">
        <x:f>IF(OR(B100="",C100=""),"",C100/B100)</x:f>
      </x:c>
      <x:c r="E100" s="509"/>
      <x:c r="F100" s="509"/>
    </x:row>
    <x:row r="101">
      <x:c r="A101" s="509"/>
      <x:c r="B101" s="524"/>
      <x:c r="C101" s="511"/>
      <x:c r="D101" s="525" t="str">
        <x:f>IF(OR(B101="",C101=""),"",C101/B101)</x:f>
      </x:c>
      <x:c r="E101" s="509"/>
      <x:c r="F101" s="509"/>
    </x:row>
    <x:row r="102">
      <x:c r="A102" s="509"/>
      <x:c r="B102" s="524"/>
      <x:c r="C102" s="511"/>
      <x:c r="D102" s="525" t="str">
        <x:f>IF(OR(B102="",C102=""),"",C102/B102)</x:f>
      </x:c>
      <x:c r="E102" s="509"/>
      <x:c r="F102" s="509"/>
    </x:row>
    <x:row r="103">
      <x:c r="A103" s="509"/>
      <x:c r="B103" s="524"/>
      <x:c r="C103" s="511"/>
      <x:c r="D103" s="525" t="str">
        <x:f>IF(OR(B103="",C103=""),"",C103/B103)</x:f>
      </x:c>
      <x:c r="E103" s="509"/>
      <x:c r="F103" s="509"/>
    </x:row>
    <x:row r="104">
      <x:c r="A104" s="509"/>
      <x:c r="B104" s="524"/>
      <x:c r="C104" s="511"/>
      <x:c r="D104" s="525" t="str">
        <x:f>IF(OR(B104="",C104=""),"",C104/B104)</x:f>
      </x:c>
      <x:c r="E104" s="509"/>
      <x:c r="F104" s="509"/>
    </x:row>
    <x:row r="105">
      <x:c r="A105" s="509"/>
      <x:c r="B105" s="524"/>
      <x:c r="C105" s="511"/>
      <x:c r="D105" s="525" t="str">
        <x:f>IF(OR(B105="",C105=""),"",C105/B105)</x:f>
      </x:c>
      <x:c r="E105" s="509"/>
      <x:c r="F105" s="509"/>
    </x:row>
    <x:row r="106">
      <x:c r="A106" s="509"/>
      <x:c r="B106" s="524"/>
      <x:c r="C106" s="511"/>
      <x:c r="D106" s="525" t="str">
        <x:f>IF(OR(B106="",C106=""),"",C106/B106)</x:f>
      </x:c>
      <x:c r="E106" s="509"/>
      <x:c r="F106" s="509"/>
    </x:row>
    <x:row r="107">
      <x:c r="A107" s="509"/>
      <x:c r="B107" s="524"/>
      <x:c r="C107" s="511"/>
      <x:c r="D107" s="525" t="str">
        <x:f>IF(OR(B107="",C107=""),"",C107/B107)</x:f>
      </x:c>
      <x:c r="E107" s="509"/>
      <x:c r="F107" s="509"/>
    </x:row>
    <x:row r="108">
      <x:c r="A108" s="509"/>
      <x:c r="B108" s="524"/>
      <x:c r="C108" s="511"/>
      <x:c r="D108" s="525" t="str">
        <x:f>IF(OR(B108="",C108=""),"",C108/B108)</x:f>
      </x:c>
      <x:c r="E108" s="509"/>
      <x:c r="F108" s="509"/>
    </x:row>
    <x:row r="109">
      <x:c r="A109" s="509"/>
      <x:c r="B109" s="524"/>
      <x:c r="C109" s="511"/>
      <x:c r="D109" s="525" t="str">
        <x:f>IF(OR(B109="",C109=""),"",C109/B109)</x:f>
      </x:c>
      <x:c r="E109" s="509"/>
      <x:c r="F109" s="509"/>
    </x:row>
    <x:row r="110">
      <x:c r="A110" s="509"/>
      <x:c r="B110" s="524"/>
      <x:c r="C110" s="511"/>
      <x:c r="D110" s="525" t="str">
        <x:f>IF(OR(B110="",C110=""),"",C110/B110)</x:f>
      </x:c>
      <x:c r="E110" s="509"/>
      <x:c r="F110" s="509"/>
    </x:row>
    <x:row r="111">
      <x:c r="A111" s="509"/>
      <x:c r="B111" s="524"/>
      <x:c r="C111" s="511"/>
      <x:c r="D111" s="525" t="str">
        <x:f>IF(OR(B111="",C111=""),"",C111/B111)</x:f>
      </x:c>
      <x:c r="E111" s="509"/>
      <x:c r="F111" s="509"/>
    </x:row>
  </x:sheetData>
  <x:mergeCells>
    <x:mergeCell ref="A1:F1"/>
    <x:mergeCell ref="A2:F2"/>
    <x:mergeCell ref="A4:B4"/>
    <x:mergeCell ref="D4:F4"/>
    <x:mergeCell ref="A10:F10"/>
  </x:mergeCells>
  <x:pageMargins left="0.7" right="0.7" top="0.75" bottom="0.75" header="0.3" footer="0.3"/>
  <x:tableParts count="1">
    <x:tablePart xmlns:r="http://schemas.openxmlformats.org/officeDocument/2006/relationships" r:id="Rd4aa1a95b0b346f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31" hidden="0" customWidth="1"/>
    <x:col min="4" max="4" width="22" hidden="0" customWidth="1"/>
  </x:cols>
  <x:sheetData>
    <x:row r="1" ht="32" customHeight="1">
      <x:c r="A1" s="558" t="str">
        <x:v>Syncraft — Owner Recovery</x:v>
      </x:c>
      <x:c r="B1" s="558"/>
      <x:c r="C1" s="558"/>
      <x:c r="D1" s="558"/>
    </x:row>
    <x:row r="2" ht="38" customHeight="1">
      <x:c r="A2" s="562" t="str">
        <x:v>Simple rule: protect the provider cost of active credits first. Cash above that reserve can be used to recover your previous Syncraft spending.</x:v>
      </x:c>
      <x:c r="B2" s="562"/>
      <x:c r="C2" s="562"/>
      <x:c r="D2" s="562"/>
    </x:row>
    <x:row r="4">
      <x:c r="A4" s="557" t="str">
        <x:v>MONEY POSITION RIGHT NOW</x:v>
      </x:c>
      <x:c r="B4" s="557"/>
      <x:c r="C4" s="557"/>
      <x:c r="D4" s="557"/>
    </x:row>
    <x:row r="5">
      <x:c r="A5" s="410" t="str">
        <x:v>Current Syncraft cash</x:v>
      </x:c>
      <x:c r="B5" s="565" t="n">
        <x:f>MAX(0,D5+D6-D7-B12)</x:f>
        <x:v>3444</x:v>
      </x:c>
      <x:c r="C5" s="581" t="str">
        <x:v>Opening cash baseline</x:v>
      </x:c>
      <x:c r="D5" s="583" t="n">
        <x:v>4490</x:v>
      </x:c>
    </x:row>
    <x:row r="6">
      <x:c r="A6" s="410" t="str">
        <x:v>Provider reserve still needed</x:v>
      </x:c>
      <x:c r="B6" s="565" t="n">
        <x:f>'All Expenses'!D7</x:f>
        <x:v>3714.3437547845365</x:v>
      </x:c>
      <x:c r="C6" s="581" t="str">
        <x:v>New synced payments</x:v>
      </x:c>
      <x:c r="D6" s="583" t="n">
        <x:f>SUM('Payment Tracker'!G11:G504)</x:f>
        <x:v>2054</x:v>
      </x:c>
    </x:row>
    <x:row r="7">
      <x:c r="A7" s="410" t="str">
        <x:v>Additional cash needed before withdrawal</x:v>
      </x:c>
      <x:c r="B7" s="567" t="n">
        <x:f>MAX(0,B6-B5)</x:f>
        <x:v>270.3437547845365</x:v>
      </x:c>
      <x:c r="C7" s="581" t="str">
        <x:v>Business cash spent after setup</x:v>
      </x:c>
      <x:c r="D7" s="586" t="n">
        <x:v>3100</x:v>
      </x:c>
    </x:row>
    <x:row r="8">
      <x:c r="A8" s="410" t="str">
        <x:v>Cash free to withdraw now</x:v>
      </x:c>
      <x:c r="B8" s="569" t="n">
        <x:f>MAX(0,B5-B6)</x:f>
        <x:v>0</x:v>
      </x:c>
      <x:c r="C8" s="581" t="str">
        <x:v>First auto-counted tracker row</x:v>
      </x:c>
      <x:c r="D8" s="590" t="n">
        <x:v>11</x:v>
      </x:c>
    </x:row>
    <x:row r="9">
      <x:c r="C9" s="581" t="str">
        <x:v>Tracking started</x:v>
      </x:c>
      <x:c r="D9" s="592" t="n">
        <x:v>46248.584462824074</x:v>
      </x:c>
    </x:row>
    <x:row r="10">
      <x:c r="A10" s="557" t="str">
        <x:v>OWNER INVESTMENT RECOVERY</x:v>
      </x:c>
      <x:c r="B10" s="557"/>
      <x:c r="C10" s="557"/>
      <x:c r="D10" s="557"/>
    </x:row>
    <x:row r="11">
      <x:c r="A11" s="410" t="str">
        <x:v>Confirmed Syncraft spending</x:v>
      </x:c>
      <x:c r="B11" s="563" t="n">
        <x:f>'All Expenses'!B5</x:f>
        <x:v>28941.55</x:v>
      </x:c>
    </x:row>
    <x:row r="12">
      <x:c r="A12" s="410" t="str">
        <x:v>Owner withdrawals after setup</x:v>
      </x:c>
      <x:c r="B12" s="572" t="n">
        <x:v>0</x:v>
      </x:c>
    </x:row>
    <x:row r="13">
      <x:c r="A13" s="410" t="str">
        <x:v>Can be recovered safely now</x:v>
      </x:c>
      <x:c r="B13" s="569" t="n">
        <x:f>MIN(B8,MAX(0,B11-B12))</x:f>
        <x:v>0</x:v>
      </x:c>
    </x:row>
    <x:row r="14">
      <x:c r="A14" s="410" t="str">
        <x:v>Investment still to recover</x:v>
      </x:c>
      <x:c r="B14" s="569" t="n">
        <x:f>MAX(0,B11-B12-B13)</x:f>
        <x:v>28941.55</x:v>
      </x:c>
    </x:row>
    <x:row r="15">
      <x:c r="A15" s="410" t="str">
        <x:v>Real profit available now</x:v>
      </x:c>
      <x:c r="B15" s="569" t="n">
        <x:f>MAX(0,B8-MAX(0,B11-B12))</x:f>
        <x:v>0</x:v>
      </x:c>
    </x:row>
    <x:row r="16">
      <x:c r="A16" s="410" t="str">
        <x:v>Recovery progress</x:v>
      </x:c>
      <x:c r="B16" s="574" t="n">
        <x:f>IF(B11=0,0,MIN(1,(B12+B13)/B11))</x:f>
        <x:v>0</x:v>
      </x:c>
    </x:row>
    <x:row r="18">
      <x:c r="A18" s="557" t="str">
        <x:v>HOW TO USE</x:v>
      </x:c>
      <x:c r="B18" s="557"/>
      <x:c r="C18" s="557"/>
      <x:c r="D18" s="557"/>
    </x:row>
    <x:row r="19" ht="28" customHeight="1">
      <x:c r="A19" s="578" t="str">
        <x:v>1. Every new valid payment added by Sync Payment is automatically included in Current Syncraft cash.</x:v>
      </x:c>
      <x:c r="B19" s="578"/>
      <x:c r="C19" s="578"/>
      <x:c r="D19" s="578"/>
    </x:row>
    <x:row r="20" ht="28" customHeight="1">
      <x:c r="A20" s="578" t="str">
        <x:v>2. Enter Fal top-ups, subscriptions, refunds, or other business cash paid after setup in Business cash spent after setup.</x:v>
      </x:c>
      <x:c r="B20" s="578"/>
      <x:c r="C20" s="578"/>
      <x:c r="D20" s="578"/>
    </x:row>
    <x:row r="21" ht="28" customHeight="1">
      <x:c r="A21" s="578" t="str">
        <x:v>3. Enter money you personally take from Syncraft in Owner withdrawals after setup.</x:v>
      </x:c>
      <x:c r="B21" s="578"/>
      <x:c r="C21" s="578"/>
      <x:c r="D21" s="578"/>
    </x:row>
    <x:row r="22" ht="28" customHeight="1">
      <x:c r="A22" s="578" t="str">
        <x:v>4. Only Cash free to withdraw now can recover your investment; after full recovery, the excess becomes real profit.</x:v>
      </x:c>
      <x:c r="B22" s="578"/>
      <x:c r="C22" s="578"/>
      <x:c r="D22" s="578"/>
    </x:row>
  </x:sheetData>
  <x:mergeCells>
    <x:mergeCell ref="A1:D1"/>
    <x:mergeCell ref="A2:D2"/>
    <x:mergeCell ref="A4:D4"/>
    <x:mergeCell ref="A10:D10"/>
    <x:mergeCell ref="A18:D18"/>
    <x:mergeCell ref="A19:D19"/>
    <x:mergeCell ref="A20:D20"/>
    <x:mergeCell ref="A21:D21"/>
    <x:mergeCell ref="A22:D22"/>
  </x:mergeCells>
  <x:pageMargins left="0.7" right="0.7" top="0.75" bottom="0.75" header="0.3" footer="0.3"/>
</x:worksheet>
</file>